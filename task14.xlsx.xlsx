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862DD42-64F9-47B2-8C9E-EED0C3151C77}" xr6:coauthVersionLast="47" xr6:coauthVersionMax="47" xr10:uidLastSave="{00000000-0000-0000-0000-000000000000}"/>
  <bookViews>
    <workbookView xWindow="-108" yWindow="-108" windowWidth="23256" windowHeight="12456" activeTab="2" xr2:uid="{88FB1572-26C1-42BE-9159-59F9CB72BB33}"/>
  </bookViews>
  <sheets>
    <sheet name="Original" sheetId="5" r:id="rId1"/>
    <sheet name="Missing data" sheetId="4" r:id="rId2"/>
    <sheet name="Working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2" l="1"/>
  <c r="K24" i="2"/>
  <c r="J23" i="2"/>
  <c r="I22" i="2"/>
  <c r="H18" i="2"/>
  <c r="H16" i="2"/>
  <c r="J12" i="2"/>
  <c r="I11" i="2"/>
</calcChain>
</file>

<file path=xl/sharedStrings.xml><?xml version="1.0" encoding="utf-8"?>
<sst xmlns="http://schemas.openxmlformats.org/spreadsheetml/2006/main" count="441" uniqueCount="105">
  <si>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</si>
  <si>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</si>
  <si>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</si>
  <si>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</si>
  <si>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</si>
  <si>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</si>
  <si>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</si>
  <si>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</si>
  <si>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</si>
  <si>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</si>
  <si>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</si>
  <si>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</si>
  <si>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</si>
  <si>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</si>
  <si>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</si>
  <si>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</si>
  <si>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</si>
  <si>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</si>
  <si>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</si>
  <si>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</si>
  <si>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</si>
  <si>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</si>
  <si>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</si>
  <si>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</si>
  <si>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</si>
  <si>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</si>
  <si>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</si>
  <si>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</si>
  <si>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</si>
  <si>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</si>
  <si>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</si>
  <si>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</si>
  <si>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</si>
  <si>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</si>
  <si>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</si>
  <si>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</si>
  <si>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</si>
  <si>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</si>
  <si>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</si>
  <si>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</si>
  <si>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</si>
  <si>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</si>
  <si>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</si>
  <si>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</si>
  <si>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</si>
  <si>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</si>
  <si>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</si>
  <si>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</si>
  <si>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</si>
  <si>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</si>
  <si>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</si>
  <si>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</si>
  <si>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</si>
  <si>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</si>
  <si>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</si>
  <si>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</si>
  <si>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</si>
  <si>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</si>
  <si>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</si>
  <si>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</si>
  <si>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</si>
  <si>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</si>
  <si>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</si>
  <si>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</si>
  <si>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</si>
  <si>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</si>
  <si>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</si>
  <si>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</si>
  <si>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</si>
  <si>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</si>
  <si>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</si>
  <si>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</si>
  <si>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</si>
  <si>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</si>
  <si>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</si>
  <si>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</si>
  <si>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</si>
  <si>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</si>
  <si>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</si>
  <si>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</si>
  <si>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</si>
  <si>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</si>
  <si>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</si>
  <si>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</si>
  <si>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</si>
  <si>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</si>
  <si>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</si>
  <si>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</si>
  <si>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</si>
  <si>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</si>
  <si>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</si>
  <si>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</si>
  <si>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</si>
  <si>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laptop</t>
  </si>
  <si>
    <t>smartphone</t>
  </si>
  <si>
    <t>Electroni</t>
  </si>
  <si>
    <t>headphones</t>
  </si>
  <si>
    <t>22-May-US</t>
  </si>
  <si>
    <t>Brand name</t>
  </si>
  <si>
    <t>INDEX FUNCTION</t>
  </si>
  <si>
    <t>T-Shirt</t>
  </si>
  <si>
    <t>MATCH FUNCTION</t>
  </si>
  <si>
    <t>APPLE</t>
  </si>
  <si>
    <t>Price</t>
  </si>
  <si>
    <t xml:space="preserve">           INDEX &amp; MATCH FUNCTION  USING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</si>
</sst>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Arial Rounded MT Bold"/>
      <family val="2"/>
    </font>
    <font>
      <sz val="10"/>
      <color theme="1"/>
      <name val="Aptos Display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63C68"/>
        <bgColor rgb="FF4DD0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C000"/>
        <bgColor rgb="FF4DD0E1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0F7FA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left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/>
    <xf numFmtId="0" fontId="5" fillId="5" borderId="1" xfId="1" applyFont="1" applyFill="1" applyBorder="1" applyAlignment="1">
      <alignment horizont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4" fillId="0" borderId="4" xfId="1" applyFont="1" applyBorder="1"/>
    <xf numFmtId="0" fontId="4" fillId="0" borderId="5" xfId="1" applyFont="1" applyBorder="1"/>
    <xf numFmtId="0" fontId="4" fillId="0" borderId="6" xfId="1" applyFont="1" applyBorder="1"/>
    <xf numFmtId="0" fontId="4" fillId="6" borderId="4" xfId="1" applyFont="1" applyFill="1" applyBorder="1"/>
    <xf numFmtId="0" fontId="4" fillId="6" borderId="5" xfId="1" applyFont="1" applyFill="1" applyBorder="1"/>
    <xf numFmtId="0" fontId="4" fillId="6" borderId="6" xfId="1" applyFont="1" applyFill="1" applyBorder="1"/>
    <xf numFmtId="0" fontId="4" fillId="6" borderId="7" xfId="1" applyFont="1" applyFill="1" applyBorder="1"/>
    <xf numFmtId="0" fontId="4" fillId="6" borderId="8" xfId="1" applyFont="1" applyFill="1" applyBorder="1"/>
    <xf numFmtId="0" fontId="4" fillId="6" borderId="9" xfId="1" applyFont="1" applyFill="1" applyBorder="1"/>
    <xf numFmtId="0" fontId="5" fillId="7" borderId="5" xfId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right"/>
    </xf>
    <xf numFmtId="0" fontId="8" fillId="10" borderId="5" xfId="0" applyFont="1" applyFill="1" applyBorder="1" applyAlignment="1">
      <alignment horizontal="right"/>
    </xf>
    <xf numFmtId="0" fontId="6" fillId="8" borderId="10" xfId="0" applyFont="1" applyFill="1" applyBorder="1" applyAlignment="1">
      <alignment horizontal="center"/>
    </xf>
    <xf numFmtId="0" fontId="6" fillId="8" borderId="5" xfId="0" applyFont="1" applyFill="1" applyBorder="1"/>
    <xf numFmtId="0" fontId="4" fillId="11" borderId="5" xfId="1" applyFont="1" applyFill="1" applyBorder="1"/>
    <xf numFmtId="0" fontId="4" fillId="12" borderId="6" xfId="1" applyFont="1" applyFill="1" applyBorder="1"/>
    <xf numFmtId="0" fontId="2" fillId="12" borderId="6" xfId="0" applyFont="1" applyFill="1" applyBorder="1"/>
    <xf numFmtId="0" fontId="2" fillId="13" borderId="5" xfId="0" applyFont="1" applyFill="1" applyBorder="1"/>
    <xf numFmtId="0" fontId="2" fillId="4" borderId="5" xfId="0" applyFont="1" applyFill="1" applyBorder="1" applyAlignment="1">
      <alignment horizontal="right"/>
    </xf>
    <xf numFmtId="0" fontId="2" fillId="13" borderId="5" xfId="0" applyFont="1" applyFill="1" applyBorder="1" applyAlignment="1">
      <alignment horizontal="left"/>
    </xf>
    <xf numFmtId="0" fontId="6" fillId="8" borderId="10" xfId="0" applyFont="1" applyFill="1" applyBorder="1" applyAlignment="1">
      <alignment horizontal="center"/>
    </xf>
    <xf numFmtId="0" fontId="6" fillId="8" borderId="10" xfId="0" applyFont="1" applyFill="1" applyBorder="1" applyAlignment="1"/>
  </cellXfs>
  <cellStyles count="2">
    <cellStyle name="Normal" xfId="0" builtinId="0"/>
    <cellStyle name="Normal 2" xfId="1" xr:uid="{63CED827-5336-483A-A3FE-1855DF8169DB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auto="1"/>
        </bottom>
      </border>
    </dxf>
    <dxf>
      <border outline="0">
        <right style="thin">
          <color indexed="64"/>
        </right>
      </border>
    </dxf>
    <dxf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Rounded MT Bold"/>
        <family val="2"/>
        <scheme val="none"/>
      </font>
      <fill>
        <patternFill patternType="solid">
          <fgColor rgb="FF4DD0E1"/>
          <bgColor rgb="FFF63C6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</border>
    </dxf>
    <dxf>
      <fill>
        <patternFill>
          <bgColor theme="0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Rounded MT Bold"/>
        <family val="2"/>
        <scheme val="none"/>
      </font>
      <fill>
        <patternFill patternType="solid">
          <fgColor rgb="FF4DD0E1"/>
          <bgColor rgb="FFF63C6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443FA-122D-4633-B85B-1B70CA891885}" name="Table1334" displayName="Table1334" ref="A1:F35" totalsRowShown="0" headerRowDxfId="10" dataDxfId="9" headerRowBorderDxfId="7" tableBorderDxfId="8" totalsRowBorderDxfId="6">
  <autoFilter ref="A1:F35" xr:uid="{B23443FA-122D-4633-B85B-1B70CA891885}"/>
  <tableColumns count="6">
    <tableColumn id="1" xr3:uid="{6E68CCFC-818C-45A5-8E82-A0C3CB8C3C05}" name="Product ID" dataDxfId="5"/>
    <tableColumn id="2" xr3:uid="{ECC22A4F-D45E-4CEB-97A8-7E2C9869F389}" name="Product Name" dataDxfId="4"/>
    <tableColumn id="3" xr3:uid="{C75B22AA-B9EF-4BAF-AC96-D377978CE634}" name="Brand Name" dataDxfId="3"/>
    <tableColumn id="4" xr3:uid="{09433EF9-38D9-44A6-9743-FAF6DEBE34D6}" name="Price ($)" dataDxfId="2"/>
    <tableColumn id="6" xr3:uid="{DA66B257-5B4F-4191-8689-2099D6753415}" name="Quantity" dataDxfId="1"/>
    <tableColumn id="7" xr3:uid="{714CB420-3E4C-4BBC-90A5-70BD1C2D6CFE}" name="Categor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BC895-6529-4A8B-8369-5699103A8991}" name="Table1" displayName="Table1" ref="A1:F35" totalsRowShown="0" headerRowDxfId="21" dataDxfId="19" headerRowBorderDxfId="20" tableBorderDxfId="18" totalsRowBorderDxfId="17" headerRowCellStyle="Normal 2" dataCellStyle="Normal 2">
  <autoFilter ref="A1:F35" xr:uid="{E89BC895-6529-4A8B-8369-5699103A8991}"/>
  <tableColumns count="6">
    <tableColumn id="1" xr3:uid="{228DA7D4-C657-4B76-B12E-61E5FB970DC4}" name="Product ID" dataDxfId="16" dataCellStyle="Normal 2"/>
    <tableColumn id="2" xr3:uid="{1CB0A94D-6EA3-4431-A924-6C4EF0FC9E2A}" name="Product Name" dataDxfId="15" dataCellStyle="Normal 2"/>
    <tableColumn id="3" xr3:uid="{CDCFDD1B-9A23-4B5E-A0C4-99F4C32FA5D0}" name="Brand Name" dataDxfId="14" dataCellStyle="Normal 2"/>
    <tableColumn id="4" xr3:uid="{FCF71C82-2004-4ED7-8B97-09326C3B2656}" name="Price ($)" dataDxfId="13" dataCellStyle="Normal 2"/>
    <tableColumn id="5" xr3:uid="{7260642A-5D4B-4AE7-84A4-E8E17B42370D}" name="Quantity" dataDxfId="12" dataCellStyle="Normal 2"/>
    <tableColumn id="6" xr3:uid="{A9A101DB-31BF-42FD-9E2F-11AF384E8793}" name="Category" dataDxfId="11" dataCellStyle="Normal 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09BD38-545B-4854-9C3B-AC3B36C46A31}" name="Table133" displayName="Table133" ref="A1:F35" totalsRowShown="0" headerRowDxfId="32" dataDxfId="30" headerRowBorderDxfId="31" tableBorderDxfId="29" totalsRowBorderDxfId="28">
  <autoFilter ref="A1:F35" xr:uid="{D909BD38-545B-4854-9C3B-AC3B36C46A31}"/>
  <tableColumns count="6">
    <tableColumn id="1" xr3:uid="{BC9975D6-C57B-401F-9F61-D80DCF4B456D}" name="Product ID" dataDxfId="27"/>
    <tableColumn id="2" xr3:uid="{CA936E18-14B9-432D-9C98-82BFD6B7F7AE}" name="Product Name" dataDxfId="26"/>
    <tableColumn id="3" xr3:uid="{310C0C05-DDD1-43CE-839D-CECDD6401E9B}" name="Brand Name" dataDxfId="25"/>
    <tableColumn id="4" xr3:uid="{CE635591-EB8A-41D6-A8D6-7F5FD92F5140}" name="Price ($)" dataDxfId="24"/>
    <tableColumn id="6" xr3:uid="{C4A015AC-CEE1-43B7-BEBC-C277931F1524}" name="Quantity" dataDxfId="23"/>
    <tableColumn id="7" xr3:uid="{592D28D6-8A83-49E5-94F6-E8CD41748159}" name="Category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002C-5A86-41DE-8343-20C2B47578EE}">
  <dimension ref="A1:F35"/>
  <sheetViews>
    <sheetView topLeftCell="A7" workbookViewId="0">
      <selection activeCell="F14" sqref="F14"/>
    </sheetView>
  </sheetViews>
  <sheetFormatPr defaultRowHeight="14.4" x14ac:dyDescent="0.3"/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 t="s">
        <v>7</v>
      </c>
      <c r="C2" s="5" t="s">
        <v>8</v>
      </c>
      <c r="D2" s="6">
        <v>1000</v>
      </c>
      <c r="E2" s="5">
        <v>30</v>
      </c>
      <c r="F2" s="7" t="s">
        <v>9</v>
      </c>
    </row>
    <row r="3" spans="1:6" x14ac:dyDescent="0.3">
      <c r="A3" s="8" t="s">
        <v>10</v>
      </c>
      <c r="B3" s="9" t="s">
        <v>11</v>
      </c>
      <c r="C3" s="9" t="s">
        <v>12</v>
      </c>
      <c r="D3" s="10">
        <v>80</v>
      </c>
      <c r="E3" s="9">
        <v>15</v>
      </c>
      <c r="F3" s="11" t="s">
        <v>13</v>
      </c>
    </row>
    <row r="4" spans="1:6" x14ac:dyDescent="0.3">
      <c r="A4" s="4" t="s">
        <v>14</v>
      </c>
      <c r="B4" s="5" t="s">
        <v>15</v>
      </c>
      <c r="C4" s="5" t="s">
        <v>16</v>
      </c>
      <c r="D4" s="6">
        <v>130</v>
      </c>
      <c r="E4" s="5">
        <v>40</v>
      </c>
      <c r="F4" s="7" t="s">
        <v>17</v>
      </c>
    </row>
    <row r="5" spans="1:6" x14ac:dyDescent="0.3">
      <c r="A5" s="8" t="s">
        <v>18</v>
      </c>
      <c r="B5" s="9" t="s">
        <v>19</v>
      </c>
      <c r="C5" s="9" t="s">
        <v>20</v>
      </c>
      <c r="D5" s="10">
        <v>900</v>
      </c>
      <c r="E5" s="9">
        <v>25</v>
      </c>
      <c r="F5" s="11" t="s">
        <v>9</v>
      </c>
    </row>
    <row r="6" spans="1:6" x14ac:dyDescent="0.3">
      <c r="A6" s="4" t="s">
        <v>21</v>
      </c>
      <c r="B6" s="5" t="s">
        <v>22</v>
      </c>
      <c r="C6" s="5" t="s">
        <v>23</v>
      </c>
      <c r="D6" s="6">
        <v>70</v>
      </c>
      <c r="E6" s="5">
        <v>20</v>
      </c>
      <c r="F6" s="7" t="s">
        <v>24</v>
      </c>
    </row>
    <row r="7" spans="1:6" x14ac:dyDescent="0.3">
      <c r="A7" s="8" t="s">
        <v>25</v>
      </c>
      <c r="B7" s="9" t="s">
        <v>26</v>
      </c>
      <c r="C7" s="9" t="s">
        <v>27</v>
      </c>
      <c r="D7" s="10">
        <v>200</v>
      </c>
      <c r="E7" s="9">
        <v>45</v>
      </c>
      <c r="F7" s="11" t="s">
        <v>9</v>
      </c>
    </row>
    <row r="8" spans="1:6" x14ac:dyDescent="0.3">
      <c r="A8" s="4" t="s">
        <v>28</v>
      </c>
      <c r="B8" s="5" t="s">
        <v>29</v>
      </c>
      <c r="C8" s="5" t="s">
        <v>30</v>
      </c>
      <c r="D8" s="6">
        <v>30</v>
      </c>
      <c r="E8" s="5">
        <v>5</v>
      </c>
      <c r="F8" s="7" t="s">
        <v>13</v>
      </c>
    </row>
    <row r="9" spans="1:6" x14ac:dyDescent="0.3">
      <c r="A9" s="8" t="s">
        <v>31</v>
      </c>
      <c r="B9" s="9" t="s">
        <v>32</v>
      </c>
      <c r="C9" s="9" t="s">
        <v>33</v>
      </c>
      <c r="D9" s="10">
        <v>90</v>
      </c>
      <c r="E9" s="9">
        <v>35</v>
      </c>
      <c r="F9" s="11" t="s">
        <v>17</v>
      </c>
    </row>
    <row r="10" spans="1:6" x14ac:dyDescent="0.3">
      <c r="A10" s="4" t="s">
        <v>34</v>
      </c>
      <c r="B10" s="5" t="s">
        <v>35</v>
      </c>
      <c r="C10" s="5" t="s">
        <v>36</v>
      </c>
      <c r="D10" s="6">
        <v>500</v>
      </c>
      <c r="E10" s="5">
        <v>50</v>
      </c>
      <c r="F10" s="7" t="s">
        <v>9</v>
      </c>
    </row>
    <row r="11" spans="1:6" x14ac:dyDescent="0.3">
      <c r="A11" s="8" t="s">
        <v>37</v>
      </c>
      <c r="B11" s="9" t="s">
        <v>38</v>
      </c>
      <c r="C11" s="9" t="s">
        <v>39</v>
      </c>
      <c r="D11" s="10">
        <v>130</v>
      </c>
      <c r="E11" s="9">
        <v>10</v>
      </c>
      <c r="F11" s="11" t="s">
        <v>24</v>
      </c>
    </row>
    <row r="12" spans="1:6" x14ac:dyDescent="0.3">
      <c r="A12" s="4" t="s">
        <v>40</v>
      </c>
      <c r="B12" s="5" t="s">
        <v>7</v>
      </c>
      <c r="C12" s="5" t="s">
        <v>41</v>
      </c>
      <c r="D12" s="6">
        <v>950</v>
      </c>
      <c r="E12" s="5">
        <v>25</v>
      </c>
      <c r="F12" s="7" t="s">
        <v>9</v>
      </c>
    </row>
    <row r="13" spans="1:6" x14ac:dyDescent="0.3">
      <c r="A13" s="8" t="s">
        <v>42</v>
      </c>
      <c r="B13" s="9" t="s">
        <v>11</v>
      </c>
      <c r="C13" s="9" t="s">
        <v>30</v>
      </c>
      <c r="D13" s="10">
        <v>90</v>
      </c>
      <c r="E13" s="9">
        <v>40</v>
      </c>
      <c r="F13" s="11" t="s">
        <v>13</v>
      </c>
    </row>
    <row r="14" spans="1:6" x14ac:dyDescent="0.3">
      <c r="A14" s="4" t="s">
        <v>43</v>
      </c>
      <c r="B14" s="5" t="s">
        <v>15</v>
      </c>
      <c r="C14" s="5" t="s">
        <v>44</v>
      </c>
      <c r="D14" s="6">
        <v>120</v>
      </c>
      <c r="E14" s="5">
        <v>35</v>
      </c>
      <c r="F14" s="7" t="s">
        <v>17</v>
      </c>
    </row>
    <row r="15" spans="1:6" x14ac:dyDescent="0.3">
      <c r="A15" s="8" t="s">
        <v>45</v>
      </c>
      <c r="B15" s="9" t="s">
        <v>46</v>
      </c>
      <c r="C15" s="9" t="s">
        <v>47</v>
      </c>
      <c r="D15" s="10">
        <v>150</v>
      </c>
      <c r="E15" s="9">
        <v>15</v>
      </c>
      <c r="F15" s="11" t="s">
        <v>9</v>
      </c>
    </row>
    <row r="16" spans="1:6" x14ac:dyDescent="0.3">
      <c r="A16" s="4" t="s">
        <v>48</v>
      </c>
      <c r="B16" s="5" t="s">
        <v>26</v>
      </c>
      <c r="C16" s="5" t="s">
        <v>49</v>
      </c>
      <c r="D16" s="6">
        <v>250</v>
      </c>
      <c r="E16" s="5">
        <v>20</v>
      </c>
      <c r="F16" s="7" t="s">
        <v>9</v>
      </c>
    </row>
    <row r="17" spans="1:6" x14ac:dyDescent="0.3">
      <c r="A17" s="8" t="s">
        <v>50</v>
      </c>
      <c r="B17" s="9" t="s">
        <v>51</v>
      </c>
      <c r="C17" s="9" t="s">
        <v>52</v>
      </c>
      <c r="D17" s="10">
        <v>50</v>
      </c>
      <c r="E17" s="9">
        <v>35</v>
      </c>
      <c r="F17" s="11" t="s">
        <v>53</v>
      </c>
    </row>
    <row r="18" spans="1:6" x14ac:dyDescent="0.3">
      <c r="A18" s="4" t="s">
        <v>54</v>
      </c>
      <c r="B18" s="5" t="s">
        <v>46</v>
      </c>
      <c r="C18" s="5" t="s">
        <v>55</v>
      </c>
      <c r="D18" s="6">
        <v>160</v>
      </c>
      <c r="E18" s="5">
        <v>15</v>
      </c>
      <c r="F18" s="7" t="s">
        <v>9</v>
      </c>
    </row>
    <row r="19" spans="1:6" x14ac:dyDescent="0.3">
      <c r="A19" s="8" t="s">
        <v>56</v>
      </c>
      <c r="B19" s="9" t="s">
        <v>7</v>
      </c>
      <c r="C19" s="9" t="s">
        <v>57</v>
      </c>
      <c r="D19" s="10">
        <v>980</v>
      </c>
      <c r="E19" s="9">
        <v>10</v>
      </c>
      <c r="F19" s="11" t="s">
        <v>9</v>
      </c>
    </row>
    <row r="20" spans="1:6" x14ac:dyDescent="0.3">
      <c r="A20" s="4" t="s">
        <v>58</v>
      </c>
      <c r="B20" s="5" t="s">
        <v>59</v>
      </c>
      <c r="C20" s="5" t="s">
        <v>60</v>
      </c>
      <c r="D20" s="6">
        <v>150</v>
      </c>
      <c r="E20" s="5">
        <v>15</v>
      </c>
      <c r="F20" s="7" t="s">
        <v>13</v>
      </c>
    </row>
    <row r="21" spans="1:6" x14ac:dyDescent="0.3">
      <c r="A21" s="8" t="s">
        <v>61</v>
      </c>
      <c r="B21" s="9" t="s">
        <v>62</v>
      </c>
      <c r="C21" s="9" t="s">
        <v>63</v>
      </c>
      <c r="D21" s="10">
        <v>200</v>
      </c>
      <c r="E21" s="9">
        <v>10</v>
      </c>
      <c r="F21" s="11" t="s">
        <v>24</v>
      </c>
    </row>
    <row r="22" spans="1:6" x14ac:dyDescent="0.3">
      <c r="A22" s="4" t="s">
        <v>64</v>
      </c>
      <c r="B22" s="5" t="s">
        <v>65</v>
      </c>
      <c r="C22" s="5" t="s">
        <v>66</v>
      </c>
      <c r="D22" s="6">
        <v>700</v>
      </c>
      <c r="E22" s="5">
        <v>50</v>
      </c>
      <c r="F22" s="7" t="s">
        <v>9</v>
      </c>
    </row>
    <row r="23" spans="1:6" x14ac:dyDescent="0.3">
      <c r="A23" s="8" t="s">
        <v>67</v>
      </c>
      <c r="B23" s="9" t="s">
        <v>68</v>
      </c>
      <c r="C23" s="9" t="s">
        <v>69</v>
      </c>
      <c r="D23" s="10">
        <v>80</v>
      </c>
      <c r="E23" s="9">
        <v>20</v>
      </c>
      <c r="F23" s="11" t="s">
        <v>17</v>
      </c>
    </row>
    <row r="24" spans="1:6" x14ac:dyDescent="0.3">
      <c r="A24" s="4" t="s">
        <v>70</v>
      </c>
      <c r="B24" s="5" t="s">
        <v>71</v>
      </c>
      <c r="C24" s="5" t="s">
        <v>72</v>
      </c>
      <c r="D24" s="6">
        <v>150</v>
      </c>
      <c r="E24" s="5">
        <v>30</v>
      </c>
      <c r="F24" s="7" t="s">
        <v>9</v>
      </c>
    </row>
    <row r="25" spans="1:6" x14ac:dyDescent="0.3">
      <c r="A25" s="8" t="s">
        <v>50</v>
      </c>
      <c r="B25" s="9" t="s">
        <v>51</v>
      </c>
      <c r="C25" s="9" t="s">
        <v>52</v>
      </c>
      <c r="D25" s="10">
        <v>50</v>
      </c>
      <c r="E25" s="9">
        <v>35</v>
      </c>
      <c r="F25" s="11" t="s">
        <v>53</v>
      </c>
    </row>
    <row r="26" spans="1:6" x14ac:dyDescent="0.3">
      <c r="A26" s="4" t="s">
        <v>73</v>
      </c>
      <c r="B26" s="5" t="s">
        <v>19</v>
      </c>
      <c r="C26" s="5" t="s">
        <v>74</v>
      </c>
      <c r="D26" s="6">
        <v>800</v>
      </c>
      <c r="E26" s="5">
        <v>45</v>
      </c>
      <c r="F26" s="7" t="s">
        <v>9</v>
      </c>
    </row>
    <row r="27" spans="1:6" x14ac:dyDescent="0.3">
      <c r="A27" s="8" t="s">
        <v>75</v>
      </c>
      <c r="B27" s="9" t="s">
        <v>59</v>
      </c>
      <c r="C27" s="9" t="s">
        <v>76</v>
      </c>
      <c r="D27" s="10">
        <v>130</v>
      </c>
      <c r="E27" s="9">
        <v>25</v>
      </c>
      <c r="F27" s="11" t="s">
        <v>13</v>
      </c>
    </row>
    <row r="28" spans="1:6" x14ac:dyDescent="0.3">
      <c r="A28" s="4" t="s">
        <v>77</v>
      </c>
      <c r="B28" s="5" t="s">
        <v>32</v>
      </c>
      <c r="C28" s="5" t="s">
        <v>78</v>
      </c>
      <c r="D28" s="6">
        <v>400</v>
      </c>
      <c r="E28" s="5">
        <v>40</v>
      </c>
      <c r="F28" s="7" t="s">
        <v>17</v>
      </c>
    </row>
    <row r="29" spans="1:6" x14ac:dyDescent="0.3">
      <c r="A29" s="8" t="s">
        <v>48</v>
      </c>
      <c r="B29" s="9" t="s">
        <v>26</v>
      </c>
      <c r="C29" s="9" t="s">
        <v>49</v>
      </c>
      <c r="D29" s="10">
        <v>230</v>
      </c>
      <c r="E29" s="9">
        <v>20</v>
      </c>
      <c r="F29" s="11" t="s">
        <v>9</v>
      </c>
    </row>
    <row r="30" spans="1:6" x14ac:dyDescent="0.3">
      <c r="A30" s="4" t="s">
        <v>79</v>
      </c>
      <c r="B30" s="5" t="s">
        <v>80</v>
      </c>
      <c r="C30" s="5" t="s">
        <v>81</v>
      </c>
      <c r="D30" s="6">
        <v>60</v>
      </c>
      <c r="E30" s="5">
        <v>30</v>
      </c>
      <c r="F30" s="7" t="s">
        <v>13</v>
      </c>
    </row>
    <row r="31" spans="1:6" x14ac:dyDescent="0.3">
      <c r="A31" s="8" t="s">
        <v>82</v>
      </c>
      <c r="B31" s="9" t="s">
        <v>83</v>
      </c>
      <c r="C31" s="9" t="s">
        <v>84</v>
      </c>
      <c r="D31" s="10">
        <v>40</v>
      </c>
      <c r="E31" s="9">
        <v>10</v>
      </c>
      <c r="F31" s="11" t="s">
        <v>17</v>
      </c>
    </row>
    <row r="32" spans="1:6" x14ac:dyDescent="0.3">
      <c r="A32" s="4" t="s">
        <v>85</v>
      </c>
      <c r="B32" s="5" t="s">
        <v>71</v>
      </c>
      <c r="C32" s="5" t="s">
        <v>86</v>
      </c>
      <c r="D32" s="6">
        <v>130</v>
      </c>
      <c r="E32" s="5">
        <v>5</v>
      </c>
      <c r="F32" s="7" t="s">
        <v>9</v>
      </c>
    </row>
    <row r="33" spans="1:6" x14ac:dyDescent="0.3">
      <c r="A33" s="8" t="s">
        <v>87</v>
      </c>
      <c r="B33" s="9" t="s">
        <v>88</v>
      </c>
      <c r="C33" s="9" t="s">
        <v>89</v>
      </c>
      <c r="D33" s="10">
        <v>50</v>
      </c>
      <c r="E33" s="9">
        <v>50</v>
      </c>
      <c r="F33" s="11" t="s">
        <v>13</v>
      </c>
    </row>
    <row r="34" spans="1:6" x14ac:dyDescent="0.3">
      <c r="A34" s="4" t="s">
        <v>40</v>
      </c>
      <c r="B34" s="5" t="s">
        <v>7</v>
      </c>
      <c r="C34" s="5" t="s">
        <v>41</v>
      </c>
      <c r="D34" s="6">
        <v>950</v>
      </c>
      <c r="E34" s="5">
        <v>25</v>
      </c>
      <c r="F34" s="7" t="s">
        <v>9</v>
      </c>
    </row>
    <row r="35" spans="1:6" x14ac:dyDescent="0.3">
      <c r="A35" s="12" t="s">
        <v>90</v>
      </c>
      <c r="B35" s="13" t="s">
        <v>91</v>
      </c>
      <c r="C35" s="13" t="s">
        <v>92</v>
      </c>
      <c r="D35" s="14">
        <v>100</v>
      </c>
      <c r="E35" s="13">
        <v>20</v>
      </c>
      <c r="F35" s="15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8A1B-9509-4374-860F-230094CC0BDC}">
  <dimension ref="A1:F35"/>
  <sheetViews>
    <sheetView topLeftCell="A3" workbookViewId="0">
      <selection activeCell="A15" sqref="A15"/>
    </sheetView>
  </sheetViews>
  <sheetFormatPr defaultRowHeight="14.4" x14ac:dyDescent="0.3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8" max="8" width="10.33203125" bestFit="1" customWidth="1"/>
    <col min="9" max="9" width="13.5546875" bestFit="1" customWidth="1"/>
    <col min="10" max="10" width="11.77734375" bestFit="1" customWidth="1"/>
    <col min="11" max="11" width="8.33203125" bestFit="1" customWidth="1"/>
    <col min="12" max="12" width="8.44140625" bestFit="1" customWidth="1"/>
    <col min="13" max="13" width="9" bestFit="1" customWidth="1"/>
  </cols>
  <sheetData>
    <row r="1" spans="1:6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r="2" spans="1:6" x14ac:dyDescent="0.3">
      <c r="A2" s="19" t="s">
        <v>6</v>
      </c>
      <c r="B2" s="20" t="s">
        <v>93</v>
      </c>
      <c r="C2" s="20" t="s">
        <v>8</v>
      </c>
      <c r="D2" s="20">
        <v>1000</v>
      </c>
      <c r="E2" s="20">
        <v>30</v>
      </c>
      <c r="F2" s="21" t="s">
        <v>9</v>
      </c>
    </row>
    <row r="3" spans="1:6" x14ac:dyDescent="0.3">
      <c r="A3" s="22" t="s">
        <v>10</v>
      </c>
      <c r="B3" s="23" t="s">
        <v>11</v>
      </c>
      <c r="C3" s="23" t="s">
        <v>12</v>
      </c>
      <c r="D3" s="23">
        <v>80</v>
      </c>
      <c r="E3" s="23">
        <v>15</v>
      </c>
      <c r="F3" s="24" t="s">
        <v>13</v>
      </c>
    </row>
    <row r="4" spans="1:6" x14ac:dyDescent="0.3">
      <c r="A4" s="19" t="s">
        <v>14</v>
      </c>
      <c r="B4" s="20" t="s">
        <v>15</v>
      </c>
      <c r="C4" s="20" t="s">
        <v>16</v>
      </c>
      <c r="D4" s="20">
        <v>130</v>
      </c>
      <c r="E4" s="20">
        <v>40</v>
      </c>
      <c r="F4" s="21" t="s">
        <v>17</v>
      </c>
    </row>
    <row r="5" spans="1:6" x14ac:dyDescent="0.3">
      <c r="A5" s="22" t="s">
        <v>18</v>
      </c>
      <c r="B5" s="23" t="s">
        <v>94</v>
      </c>
      <c r="C5" s="23" t="s">
        <v>20</v>
      </c>
      <c r="D5" s="23">
        <v>900</v>
      </c>
      <c r="E5" s="23">
        <v>25</v>
      </c>
      <c r="F5" s="24" t="s">
        <v>9</v>
      </c>
    </row>
    <row r="6" spans="1:6" x14ac:dyDescent="0.3">
      <c r="A6" s="19" t="s">
        <v>21</v>
      </c>
      <c r="B6" s="20" t="s">
        <v>22</v>
      </c>
      <c r="C6" s="20" t="s">
        <v>23</v>
      </c>
      <c r="D6" s="20">
        <v>70</v>
      </c>
      <c r="E6" s="20">
        <v>20</v>
      </c>
      <c r="F6" s="35"/>
    </row>
    <row r="7" spans="1:6" x14ac:dyDescent="0.3">
      <c r="A7" s="22" t="s">
        <v>25</v>
      </c>
      <c r="B7" s="23" t="s">
        <v>26</v>
      </c>
      <c r="C7" s="34"/>
      <c r="D7" s="23">
        <v>200</v>
      </c>
      <c r="E7" s="23">
        <v>45</v>
      </c>
      <c r="F7" s="24" t="s">
        <v>95</v>
      </c>
    </row>
    <row r="8" spans="1:6" x14ac:dyDescent="0.3">
      <c r="A8" s="19" t="s">
        <v>28</v>
      </c>
      <c r="B8" s="20" t="s">
        <v>29</v>
      </c>
      <c r="C8" s="20" t="s">
        <v>30</v>
      </c>
      <c r="D8" s="20">
        <v>30</v>
      </c>
      <c r="E8" s="20">
        <v>5</v>
      </c>
      <c r="F8" s="21" t="s">
        <v>13</v>
      </c>
    </row>
    <row r="9" spans="1:6" x14ac:dyDescent="0.3">
      <c r="A9" s="22" t="s">
        <v>31</v>
      </c>
      <c r="B9" s="23" t="s">
        <v>32</v>
      </c>
      <c r="C9" s="23" t="s">
        <v>33</v>
      </c>
      <c r="D9" s="23">
        <v>90</v>
      </c>
      <c r="E9" s="23">
        <v>35</v>
      </c>
      <c r="F9" s="24" t="s">
        <v>17</v>
      </c>
    </row>
    <row r="10" spans="1:6" x14ac:dyDescent="0.3">
      <c r="A10" s="19" t="s">
        <v>34</v>
      </c>
      <c r="B10" s="20" t="s">
        <v>35</v>
      </c>
      <c r="C10" s="20" t="s">
        <v>36</v>
      </c>
      <c r="D10" s="20">
        <v>500</v>
      </c>
      <c r="E10" s="20">
        <v>50</v>
      </c>
      <c r="F10" s="21" t="s">
        <v>9</v>
      </c>
    </row>
    <row r="11" spans="1:6" x14ac:dyDescent="0.3">
      <c r="A11" s="22" t="s">
        <v>37</v>
      </c>
      <c r="B11" s="23" t="s">
        <v>38</v>
      </c>
      <c r="C11" s="23" t="s">
        <v>39</v>
      </c>
      <c r="D11" s="23">
        <v>130</v>
      </c>
      <c r="E11" s="23">
        <v>10</v>
      </c>
      <c r="F11" s="24" t="s">
        <v>24</v>
      </c>
    </row>
    <row r="12" spans="1:6" x14ac:dyDescent="0.3">
      <c r="A12" s="19" t="s">
        <v>40</v>
      </c>
      <c r="B12" s="20" t="s">
        <v>7</v>
      </c>
      <c r="C12" s="20" t="s">
        <v>41</v>
      </c>
      <c r="D12" s="20">
        <v>950</v>
      </c>
      <c r="E12" s="20">
        <v>25</v>
      </c>
      <c r="F12" s="21" t="s">
        <v>9</v>
      </c>
    </row>
    <row r="13" spans="1:6" x14ac:dyDescent="0.3">
      <c r="A13" s="22" t="s">
        <v>42</v>
      </c>
      <c r="B13" s="23" t="s">
        <v>11</v>
      </c>
      <c r="C13" s="23" t="s">
        <v>30</v>
      </c>
      <c r="D13" s="35"/>
      <c r="E13" s="23">
        <v>40</v>
      </c>
      <c r="F13" s="23" t="s">
        <v>13</v>
      </c>
    </row>
    <row r="14" spans="1:6" x14ac:dyDescent="0.3">
      <c r="A14" s="19" t="s">
        <v>43</v>
      </c>
      <c r="B14" s="20" t="s">
        <v>15</v>
      </c>
      <c r="C14" s="20" t="s">
        <v>44</v>
      </c>
      <c r="D14" s="20">
        <v>120</v>
      </c>
      <c r="E14" s="20">
        <v>35</v>
      </c>
      <c r="F14" s="21" t="s">
        <v>17</v>
      </c>
    </row>
    <row r="15" spans="1:6" x14ac:dyDescent="0.3">
      <c r="A15" s="22" t="s">
        <v>45</v>
      </c>
      <c r="B15" s="23" t="s">
        <v>46</v>
      </c>
      <c r="C15" s="34"/>
      <c r="D15" s="23">
        <v>150</v>
      </c>
      <c r="E15" s="23">
        <v>15</v>
      </c>
      <c r="F15" s="24" t="s">
        <v>95</v>
      </c>
    </row>
    <row r="16" spans="1:6" x14ac:dyDescent="0.3">
      <c r="A16" s="19" t="s">
        <v>48</v>
      </c>
      <c r="B16" s="20" t="s">
        <v>96</v>
      </c>
      <c r="C16" s="20" t="s">
        <v>49</v>
      </c>
      <c r="D16" s="20">
        <v>250</v>
      </c>
      <c r="E16" s="20">
        <v>20</v>
      </c>
      <c r="F16" s="21" t="s">
        <v>95</v>
      </c>
    </row>
    <row r="17" spans="1:6" x14ac:dyDescent="0.3">
      <c r="A17" s="22" t="s">
        <v>50</v>
      </c>
      <c r="B17" s="23" t="s">
        <v>51</v>
      </c>
      <c r="C17" s="23" t="s">
        <v>52</v>
      </c>
      <c r="D17" s="23">
        <v>50</v>
      </c>
      <c r="E17" s="23">
        <v>35</v>
      </c>
      <c r="F17" s="24" t="s">
        <v>53</v>
      </c>
    </row>
    <row r="18" spans="1:6" x14ac:dyDescent="0.3">
      <c r="A18" s="19" t="s">
        <v>54</v>
      </c>
      <c r="B18" s="20" t="s">
        <v>46</v>
      </c>
      <c r="C18" s="20" t="s">
        <v>55</v>
      </c>
      <c r="D18" s="20"/>
      <c r="E18" s="20">
        <v>15</v>
      </c>
      <c r="F18" s="21" t="s">
        <v>95</v>
      </c>
    </row>
    <row r="19" spans="1:6" x14ac:dyDescent="0.3">
      <c r="A19" s="22" t="s">
        <v>56</v>
      </c>
      <c r="B19" s="23" t="s">
        <v>93</v>
      </c>
      <c r="C19" s="23" t="s">
        <v>57</v>
      </c>
      <c r="D19" s="23">
        <v>980</v>
      </c>
      <c r="E19" s="23">
        <v>10</v>
      </c>
      <c r="F19" s="24" t="s">
        <v>9</v>
      </c>
    </row>
    <row r="20" spans="1:6" x14ac:dyDescent="0.3">
      <c r="A20" s="19" t="s">
        <v>58</v>
      </c>
      <c r="B20" s="20" t="s">
        <v>59</v>
      </c>
      <c r="C20" s="20" t="s">
        <v>60</v>
      </c>
      <c r="D20" s="20">
        <v>150</v>
      </c>
      <c r="E20" s="20">
        <v>15</v>
      </c>
      <c r="F20" s="21" t="s">
        <v>13</v>
      </c>
    </row>
    <row r="21" spans="1:6" x14ac:dyDescent="0.3">
      <c r="A21" s="22" t="s">
        <v>61</v>
      </c>
      <c r="B21" s="23" t="s">
        <v>62</v>
      </c>
      <c r="C21" s="23" t="s">
        <v>63</v>
      </c>
      <c r="D21" s="23"/>
      <c r="E21" s="23">
        <v>10</v>
      </c>
      <c r="F21" s="24" t="s">
        <v>24</v>
      </c>
    </row>
    <row r="22" spans="1:6" x14ac:dyDescent="0.3">
      <c r="A22" s="19" t="s">
        <v>64</v>
      </c>
      <c r="B22" s="20" t="s">
        <v>65</v>
      </c>
      <c r="C22" s="20" t="s">
        <v>66</v>
      </c>
      <c r="D22" s="20">
        <v>700</v>
      </c>
      <c r="E22" s="20">
        <v>50</v>
      </c>
      <c r="F22" s="21" t="s">
        <v>9</v>
      </c>
    </row>
    <row r="23" spans="1:6" x14ac:dyDescent="0.3">
      <c r="A23" s="22" t="s">
        <v>67</v>
      </c>
      <c r="B23" s="23" t="s">
        <v>68</v>
      </c>
      <c r="C23" s="23" t="s">
        <v>69</v>
      </c>
      <c r="D23" s="23">
        <v>80</v>
      </c>
      <c r="E23" s="23">
        <v>20</v>
      </c>
      <c r="F23" s="24" t="s">
        <v>17</v>
      </c>
    </row>
    <row r="24" spans="1:6" x14ac:dyDescent="0.3">
      <c r="A24" s="19" t="s">
        <v>70</v>
      </c>
      <c r="B24" s="20" t="s">
        <v>71</v>
      </c>
      <c r="C24" s="20" t="s">
        <v>72</v>
      </c>
      <c r="D24" s="20">
        <v>150</v>
      </c>
      <c r="E24" s="20">
        <v>30</v>
      </c>
      <c r="F24" s="21" t="s">
        <v>9</v>
      </c>
    </row>
    <row r="25" spans="1:6" x14ac:dyDescent="0.3">
      <c r="A25" s="22" t="s">
        <v>50</v>
      </c>
      <c r="B25" s="23" t="s">
        <v>51</v>
      </c>
      <c r="C25" s="23" t="s">
        <v>52</v>
      </c>
      <c r="D25" s="23">
        <v>50</v>
      </c>
      <c r="E25" s="23">
        <v>35</v>
      </c>
      <c r="F25" s="24" t="s">
        <v>53</v>
      </c>
    </row>
    <row r="26" spans="1:6" x14ac:dyDescent="0.3">
      <c r="A26" s="19" t="s">
        <v>73</v>
      </c>
      <c r="B26" s="20" t="s">
        <v>19</v>
      </c>
      <c r="C26" s="20" t="s">
        <v>74</v>
      </c>
      <c r="D26" s="20">
        <v>800</v>
      </c>
      <c r="E26" s="20">
        <v>45</v>
      </c>
      <c r="F26" s="21" t="s">
        <v>9</v>
      </c>
    </row>
    <row r="27" spans="1:6" x14ac:dyDescent="0.3">
      <c r="A27" s="22" t="s">
        <v>75</v>
      </c>
      <c r="B27" s="23" t="s">
        <v>59</v>
      </c>
      <c r="C27" s="23" t="s">
        <v>76</v>
      </c>
      <c r="D27" s="23"/>
      <c r="E27" s="23">
        <v>25</v>
      </c>
      <c r="F27" s="24" t="s">
        <v>13</v>
      </c>
    </row>
    <row r="28" spans="1:6" x14ac:dyDescent="0.3">
      <c r="A28" s="19" t="s">
        <v>77</v>
      </c>
      <c r="B28" s="20" t="s">
        <v>32</v>
      </c>
      <c r="C28" s="20" t="s">
        <v>78</v>
      </c>
      <c r="D28" s="20">
        <v>400</v>
      </c>
      <c r="E28" s="20">
        <v>40</v>
      </c>
      <c r="F28" s="21" t="s">
        <v>17</v>
      </c>
    </row>
    <row r="29" spans="1:6" x14ac:dyDescent="0.3">
      <c r="A29" s="22" t="s">
        <v>48</v>
      </c>
      <c r="B29" s="23" t="s">
        <v>96</v>
      </c>
      <c r="C29" s="23" t="s">
        <v>49</v>
      </c>
      <c r="D29" s="23">
        <v>250</v>
      </c>
      <c r="E29" s="23">
        <v>20</v>
      </c>
      <c r="F29" s="24" t="s">
        <v>95</v>
      </c>
    </row>
    <row r="30" spans="1:6" x14ac:dyDescent="0.3">
      <c r="A30" s="19" t="s">
        <v>79</v>
      </c>
      <c r="B30" s="20" t="s">
        <v>80</v>
      </c>
      <c r="C30" s="20" t="s">
        <v>81</v>
      </c>
      <c r="D30" s="20">
        <v>60</v>
      </c>
      <c r="E30" s="20">
        <v>30</v>
      </c>
      <c r="F30" s="21" t="s">
        <v>13</v>
      </c>
    </row>
    <row r="31" spans="1:6" x14ac:dyDescent="0.3">
      <c r="A31" s="22" t="s">
        <v>82</v>
      </c>
      <c r="B31" s="23" t="s">
        <v>83</v>
      </c>
      <c r="C31" s="23" t="s">
        <v>84</v>
      </c>
      <c r="D31" s="23">
        <v>40</v>
      </c>
      <c r="E31" s="23">
        <v>10</v>
      </c>
      <c r="F31" s="24" t="s">
        <v>17</v>
      </c>
    </row>
    <row r="32" spans="1:6" x14ac:dyDescent="0.3">
      <c r="A32" s="19" t="s">
        <v>85</v>
      </c>
      <c r="B32" s="20" t="s">
        <v>71</v>
      </c>
      <c r="C32" s="20" t="s">
        <v>86</v>
      </c>
      <c r="D32" s="20">
        <v>130</v>
      </c>
      <c r="E32" s="20">
        <v>5</v>
      </c>
      <c r="F32" s="21" t="s">
        <v>9</v>
      </c>
    </row>
    <row r="33" spans="1:6" x14ac:dyDescent="0.3">
      <c r="A33" s="22" t="s">
        <v>87</v>
      </c>
      <c r="B33" s="23" t="s">
        <v>88</v>
      </c>
      <c r="C33" s="23" t="s">
        <v>89</v>
      </c>
      <c r="D33" s="23">
        <v>50</v>
      </c>
      <c r="E33" s="23">
        <v>50</v>
      </c>
      <c r="F33" s="24" t="s">
        <v>13</v>
      </c>
    </row>
    <row r="34" spans="1:6" x14ac:dyDescent="0.3">
      <c r="A34" s="19" t="s">
        <v>40</v>
      </c>
      <c r="B34" s="20" t="s">
        <v>7</v>
      </c>
      <c r="C34" s="20" t="s">
        <v>41</v>
      </c>
      <c r="D34" s="20">
        <v>950</v>
      </c>
      <c r="E34" s="20">
        <v>25</v>
      </c>
      <c r="F34" s="21" t="s">
        <v>9</v>
      </c>
    </row>
    <row r="35" spans="1:6" x14ac:dyDescent="0.3">
      <c r="A35" s="25" t="s">
        <v>90</v>
      </c>
      <c r="B35" s="26" t="s">
        <v>91</v>
      </c>
      <c r="C35" s="26" t="s">
        <v>92</v>
      </c>
      <c r="D35" s="26">
        <v>100</v>
      </c>
      <c r="E35" s="26">
        <v>20</v>
      </c>
      <c r="F35" s="27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33E1-AB37-437B-A20E-09AF8E420AE0}">
  <dimension ref="A1:K35"/>
  <sheetViews>
    <sheetView tabSelected="1" workbookViewId="0">
      <selection activeCell="K17" sqref="K17"/>
    </sheetView>
  </sheetViews>
  <sheetFormatPr defaultRowHeight="14.4" x14ac:dyDescent="0.3"/>
  <cols>
    <col min="1" max="1" width="16.21875" bestFit="1" customWidth="1"/>
    <col min="2" max="2" width="19.88671875" bestFit="1" customWidth="1"/>
    <col min="3" max="3" width="18" bestFit="1" customWidth="1"/>
    <col min="4" max="4" width="14.109375" bestFit="1" customWidth="1"/>
    <col min="5" max="5" width="10.109375" customWidth="1"/>
    <col min="6" max="6" width="14.77734375" customWidth="1"/>
    <col min="8" max="8" width="16.5546875" bestFit="1" customWidth="1"/>
    <col min="9" max="9" width="15.5546875" bestFit="1" customWidth="1"/>
    <col min="10" max="10" width="15.6640625" customWidth="1"/>
    <col min="11" max="11" width="10.77734375" bestFit="1" customWidth="1"/>
    <col min="12" max="12" width="7.6640625" bestFit="1" customWidth="1"/>
    <col min="13" max="13" width="11.5546875" bestFit="1" customWidth="1"/>
    <col min="14" max="14" width="11.44140625" bestFit="1" customWidth="1"/>
    <col min="15" max="15" width="7.6640625" bestFit="1" customWidth="1"/>
    <col min="16" max="16" width="7.44140625" bestFit="1" customWidth="1"/>
    <col min="17" max="17" width="12.44140625" bestFit="1" customWidth="1"/>
    <col min="18" max="18" width="8.5546875" bestFit="1" customWidth="1"/>
    <col min="19" max="19" width="7.6640625" bestFit="1" customWidth="1"/>
    <col min="20" max="20" width="7.44140625" bestFit="1" customWidth="1"/>
    <col min="21" max="21" width="12.44140625" bestFit="1" customWidth="1"/>
    <col min="22" max="22" width="10.44140625" bestFit="1" customWidth="1"/>
    <col min="23" max="23" width="7.6640625" bestFit="1" customWidth="1"/>
    <col min="24" max="24" width="5.44140625" bestFit="1" customWidth="1"/>
    <col min="25" max="25" width="13.44140625" bestFit="1" customWidth="1"/>
    <col min="26" max="26" width="6.88671875" bestFit="1" customWidth="1"/>
    <col min="27" max="27" width="7.6640625" bestFit="1" customWidth="1"/>
    <col min="28" max="28" width="6.88671875" bestFit="1" customWidth="1"/>
    <col min="29" max="29" width="11.44140625" bestFit="1" customWidth="1"/>
    <col min="30" max="30" width="10" bestFit="1" customWidth="1"/>
    <col min="31" max="31" width="7.6640625" bestFit="1" customWidth="1"/>
    <col min="32" max="32" width="9" bestFit="1" customWidth="1"/>
    <col min="33" max="33" width="11.5546875" bestFit="1" customWidth="1"/>
    <col min="34" max="34" width="10.33203125" bestFit="1" customWidth="1"/>
    <col min="35" max="35" width="6.44140625" bestFit="1" customWidth="1"/>
    <col min="36" max="36" width="7.6640625" bestFit="1" customWidth="1"/>
    <col min="37" max="37" width="11.109375" bestFit="1" customWidth="1"/>
    <col min="38" max="38" width="8.5546875" bestFit="1" customWidth="1"/>
    <col min="39" max="39" width="10" bestFit="1" customWidth="1"/>
    <col min="40" max="40" width="7.6640625" bestFit="1" customWidth="1"/>
    <col min="41" max="41" width="12.6640625" bestFit="1" customWidth="1"/>
    <col min="42" max="42" width="11.44140625" bestFit="1" customWidth="1"/>
    <col min="43" max="43" width="6.88671875" bestFit="1" customWidth="1"/>
    <col min="44" max="44" width="7.21875" bestFit="1" customWidth="1"/>
    <col min="45" max="45" width="7.6640625" bestFit="1" customWidth="1"/>
    <col min="46" max="46" width="13.44140625" bestFit="1" customWidth="1"/>
    <col min="47" max="47" width="6.33203125" bestFit="1" customWidth="1"/>
    <col min="48" max="48" width="6.6640625" bestFit="1" customWidth="1"/>
    <col min="49" max="49" width="10.777343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0" x14ac:dyDescent="0.3">
      <c r="A2" s="4" t="s">
        <v>6</v>
      </c>
      <c r="B2" s="5" t="s">
        <v>7</v>
      </c>
      <c r="C2" s="5" t="s">
        <v>8</v>
      </c>
      <c r="D2" s="6">
        <v>1000</v>
      </c>
      <c r="E2" s="5">
        <v>30</v>
      </c>
      <c r="F2" s="7" t="s">
        <v>9</v>
      </c>
    </row>
    <row r="3" spans="1:10" x14ac:dyDescent="0.3">
      <c r="A3" s="8" t="s">
        <v>10</v>
      </c>
      <c r="B3" s="9" t="s">
        <v>11</v>
      </c>
      <c r="C3" s="9" t="s">
        <v>12</v>
      </c>
      <c r="D3" s="10">
        <v>80</v>
      </c>
      <c r="E3" s="9">
        <v>15</v>
      </c>
      <c r="F3" s="11" t="s">
        <v>13</v>
      </c>
    </row>
    <row r="4" spans="1:10" x14ac:dyDescent="0.3">
      <c r="A4" s="4" t="s">
        <v>14</v>
      </c>
      <c r="B4" s="5" t="s">
        <v>15</v>
      </c>
      <c r="C4" s="5" t="s">
        <v>16</v>
      </c>
      <c r="D4" s="6">
        <v>130</v>
      </c>
      <c r="E4" s="5">
        <v>40</v>
      </c>
      <c r="F4" s="7" t="s">
        <v>17</v>
      </c>
    </row>
    <row r="5" spans="1:10" x14ac:dyDescent="0.3">
      <c r="A5" s="8" t="s">
        <v>18</v>
      </c>
      <c r="B5" s="9" t="s">
        <v>19</v>
      </c>
      <c r="C5" s="9" t="s">
        <v>20</v>
      </c>
      <c r="D5" s="10">
        <v>900</v>
      </c>
      <c r="E5" s="9">
        <v>25</v>
      </c>
      <c r="F5" s="11" t="s">
        <v>9</v>
      </c>
    </row>
    <row r="6" spans="1:10" x14ac:dyDescent="0.3">
      <c r="A6" s="10" t="s">
        <v>21</v>
      </c>
      <c r="B6" s="10" t="s">
        <v>22</v>
      </c>
      <c r="C6" s="10" t="s">
        <v>23</v>
      </c>
      <c r="D6" s="10">
        <v>70</v>
      </c>
      <c r="E6" s="38">
        <v>20</v>
      </c>
      <c r="F6" s="36" t="s">
        <v>24</v>
      </c>
    </row>
    <row r="7" spans="1:10" x14ac:dyDescent="0.3">
      <c r="A7" s="8" t="s">
        <v>25</v>
      </c>
      <c r="B7" s="9" t="s">
        <v>26</v>
      </c>
      <c r="C7" s="37" t="s">
        <v>27</v>
      </c>
      <c r="D7" s="10">
        <v>200</v>
      </c>
      <c r="E7" s="9">
        <v>45</v>
      </c>
      <c r="F7" s="11" t="s">
        <v>9</v>
      </c>
    </row>
    <row r="8" spans="1:10" x14ac:dyDescent="0.3">
      <c r="A8" s="4" t="s">
        <v>28</v>
      </c>
      <c r="B8" s="5" t="s">
        <v>29</v>
      </c>
      <c r="C8" s="5" t="s">
        <v>30</v>
      </c>
      <c r="D8" s="6">
        <v>30</v>
      </c>
      <c r="E8" s="5">
        <v>5</v>
      </c>
      <c r="F8" s="7" t="s">
        <v>13</v>
      </c>
    </row>
    <row r="9" spans="1:10" x14ac:dyDescent="0.3">
      <c r="A9" s="8" t="s">
        <v>31</v>
      </c>
      <c r="B9" s="9" t="s">
        <v>32</v>
      </c>
      <c r="C9" s="9" t="s">
        <v>33</v>
      </c>
      <c r="D9" s="10">
        <v>90</v>
      </c>
      <c r="E9" s="9">
        <v>35</v>
      </c>
      <c r="F9" s="11" t="s">
        <v>17</v>
      </c>
      <c r="H9" s="32" t="s">
        <v>99</v>
      </c>
      <c r="I9" s="32"/>
      <c r="J9" s="32"/>
    </row>
    <row r="10" spans="1:10" x14ac:dyDescent="0.3">
      <c r="A10" s="4" t="s">
        <v>34</v>
      </c>
      <c r="B10" s="5" t="s">
        <v>35</v>
      </c>
      <c r="C10" s="5" t="s">
        <v>36</v>
      </c>
      <c r="D10" s="6">
        <v>500</v>
      </c>
      <c r="E10" s="5">
        <v>50</v>
      </c>
      <c r="F10" s="7" t="s">
        <v>9</v>
      </c>
      <c r="H10" s="28" t="s">
        <v>0</v>
      </c>
      <c r="I10" s="28" t="s">
        <v>5</v>
      </c>
      <c r="J10" s="28" t="s">
        <v>98</v>
      </c>
    </row>
    <row r="11" spans="1:10" ht="15.6" x14ac:dyDescent="0.3">
      <c r="A11" s="8" t="s">
        <v>37</v>
      </c>
      <c r="B11" s="9" t="s">
        <v>38</v>
      </c>
      <c r="C11" s="9" t="s">
        <v>39</v>
      </c>
      <c r="D11" s="10">
        <v>130</v>
      </c>
      <c r="E11" s="9">
        <v>10</v>
      </c>
      <c r="F11" s="11" t="s">
        <v>24</v>
      </c>
      <c r="H11" s="29" t="s">
        <v>97</v>
      </c>
      <c r="I11" s="29" t="str">
        <f>INDEX($B$2:$F$35,5,5)</f>
        <v>Outdoor</v>
      </c>
      <c r="J11" s="29"/>
    </row>
    <row r="12" spans="1:10" ht="15.6" x14ac:dyDescent="0.3">
      <c r="A12" s="4" t="s">
        <v>40</v>
      </c>
      <c r="B12" s="5" t="s">
        <v>7</v>
      </c>
      <c r="C12" s="5" t="s">
        <v>41</v>
      </c>
      <c r="D12" s="6">
        <v>950</v>
      </c>
      <c r="E12" s="5">
        <v>25</v>
      </c>
      <c r="F12" s="7" t="s">
        <v>9</v>
      </c>
      <c r="H12" s="29" t="s">
        <v>25</v>
      </c>
      <c r="I12" s="29"/>
      <c r="J12" s="29" t="str">
        <f>INDEX($B$2:$F$35,6,2)</f>
        <v>Sony</v>
      </c>
    </row>
    <row r="13" spans="1:10" x14ac:dyDescent="0.3">
      <c r="A13" s="8" t="s">
        <v>42</v>
      </c>
      <c r="B13" s="9" t="s">
        <v>11</v>
      </c>
      <c r="C13" s="9" t="s">
        <v>30</v>
      </c>
      <c r="D13" s="39">
        <v>90</v>
      </c>
      <c r="E13" s="9">
        <v>40</v>
      </c>
      <c r="F13" s="11" t="s">
        <v>13</v>
      </c>
    </row>
    <row r="14" spans="1:10" x14ac:dyDescent="0.3">
      <c r="A14" s="4" t="s">
        <v>43</v>
      </c>
      <c r="B14" s="5" t="s">
        <v>15</v>
      </c>
      <c r="C14" s="5" t="s">
        <v>44</v>
      </c>
      <c r="D14" s="6">
        <v>120</v>
      </c>
      <c r="E14" s="5">
        <v>35</v>
      </c>
      <c r="F14" s="7" t="s">
        <v>17</v>
      </c>
      <c r="H14" s="33" t="s">
        <v>101</v>
      </c>
    </row>
    <row r="15" spans="1:10" ht="15.6" x14ac:dyDescent="0.3">
      <c r="A15" s="8" t="s">
        <v>45</v>
      </c>
      <c r="B15" s="9" t="s">
        <v>46</v>
      </c>
      <c r="C15" s="39" t="s">
        <v>47</v>
      </c>
      <c r="D15" s="10">
        <v>150</v>
      </c>
      <c r="E15" s="9">
        <v>15</v>
      </c>
      <c r="F15" s="11" t="s">
        <v>9</v>
      </c>
      <c r="H15" s="30" t="s">
        <v>100</v>
      </c>
    </row>
    <row r="16" spans="1:10" ht="15.6" x14ac:dyDescent="0.3">
      <c r="A16" s="4" t="s">
        <v>48</v>
      </c>
      <c r="B16" s="5" t="s">
        <v>26</v>
      </c>
      <c r="C16" s="5" t="s">
        <v>49</v>
      </c>
      <c r="D16" s="6">
        <v>250</v>
      </c>
      <c r="E16" s="5">
        <v>20</v>
      </c>
      <c r="F16" s="7" t="s">
        <v>9</v>
      </c>
      <c r="H16" s="31">
        <f>MATCH(H15,B2:B35,0)</f>
        <v>7</v>
      </c>
    </row>
    <row r="17" spans="1:11" ht="15.6" x14ac:dyDescent="0.3">
      <c r="A17" s="8" t="s">
        <v>50</v>
      </c>
      <c r="B17" s="9" t="s">
        <v>51</v>
      </c>
      <c r="C17" s="9" t="s">
        <v>52</v>
      </c>
      <c r="D17" s="10">
        <v>50</v>
      </c>
      <c r="E17" s="9">
        <v>35</v>
      </c>
      <c r="F17" s="11" t="s">
        <v>53</v>
      </c>
      <c r="H17" s="30" t="s">
        <v>102</v>
      </c>
    </row>
    <row r="18" spans="1:11" ht="15.6" x14ac:dyDescent="0.3">
      <c r="A18" s="4" t="s">
        <v>54</v>
      </c>
      <c r="B18" s="5" t="s">
        <v>46</v>
      </c>
      <c r="C18" s="5" t="s">
        <v>55</v>
      </c>
      <c r="D18" s="6">
        <v>160</v>
      </c>
      <c r="E18" s="5">
        <v>15</v>
      </c>
      <c r="F18" s="7" t="s">
        <v>9</v>
      </c>
      <c r="H18" s="31">
        <f>MATCH(H17,C2:C35,0)</f>
        <v>9</v>
      </c>
    </row>
    <row r="19" spans="1:11" x14ac:dyDescent="0.3">
      <c r="A19" s="8" t="s">
        <v>56</v>
      </c>
      <c r="B19" s="9" t="s">
        <v>7</v>
      </c>
      <c r="C19" s="9" t="s">
        <v>57</v>
      </c>
      <c r="D19" s="10">
        <v>980</v>
      </c>
      <c r="E19" s="9">
        <v>10</v>
      </c>
      <c r="F19" s="11" t="s">
        <v>9</v>
      </c>
    </row>
    <row r="20" spans="1:11" x14ac:dyDescent="0.3">
      <c r="A20" s="4" t="s">
        <v>58</v>
      </c>
      <c r="B20" s="5" t="s">
        <v>59</v>
      </c>
      <c r="C20" s="5" t="s">
        <v>60</v>
      </c>
      <c r="D20" s="6">
        <v>150</v>
      </c>
      <c r="E20" s="5">
        <v>15</v>
      </c>
      <c r="F20" s="7" t="s">
        <v>13</v>
      </c>
      <c r="H20" s="41" t="s">
        <v>104</v>
      </c>
      <c r="I20" s="40"/>
      <c r="J20" s="41"/>
      <c r="K20" s="41"/>
    </row>
    <row r="21" spans="1:11" x14ac:dyDescent="0.3">
      <c r="A21" s="8" t="s">
        <v>61</v>
      </c>
      <c r="B21" s="9" t="s">
        <v>62</v>
      </c>
      <c r="C21" s="9" t="s">
        <v>63</v>
      </c>
      <c r="D21" s="10">
        <v>200</v>
      </c>
      <c r="E21" s="9">
        <v>10</v>
      </c>
      <c r="F21" s="11" t="s">
        <v>24</v>
      </c>
      <c r="H21" s="28" t="s">
        <v>0</v>
      </c>
      <c r="I21" s="28" t="s">
        <v>5</v>
      </c>
      <c r="J21" s="28" t="s">
        <v>98</v>
      </c>
      <c r="K21" s="28" t="s">
        <v>103</v>
      </c>
    </row>
    <row r="22" spans="1:11" ht="15.6" x14ac:dyDescent="0.3">
      <c r="A22" s="4" t="s">
        <v>64</v>
      </c>
      <c r="B22" s="5" t="s">
        <v>65</v>
      </c>
      <c r="C22" s="5" t="s">
        <v>66</v>
      </c>
      <c r="D22" s="6">
        <v>700</v>
      </c>
      <c r="E22" s="5">
        <v>50</v>
      </c>
      <c r="F22" s="7" t="s">
        <v>9</v>
      </c>
      <c r="H22" s="29" t="s">
        <v>21</v>
      </c>
      <c r="I22" s="29" t="str">
        <f>INDEX(F2:F35,MATCH("22-MAY-US",A2:A35,0))</f>
        <v>Outdoor</v>
      </c>
      <c r="J22" s="29"/>
      <c r="K22" s="29"/>
    </row>
    <row r="23" spans="1:11" ht="15.6" x14ac:dyDescent="0.3">
      <c r="A23" s="8" t="s">
        <v>67</v>
      </c>
      <c r="B23" s="9" t="s">
        <v>68</v>
      </c>
      <c r="C23" s="9" t="s">
        <v>69</v>
      </c>
      <c r="D23" s="10">
        <v>80</v>
      </c>
      <c r="E23" s="9">
        <v>20</v>
      </c>
      <c r="F23" s="11" t="s">
        <v>17</v>
      </c>
      <c r="H23" s="29" t="s">
        <v>25</v>
      </c>
      <c r="I23" s="29"/>
      <c r="J23" s="29" t="str">
        <f>INDEX(C2:C35,MATCH("07-JUN-UK",A2:A35,0))</f>
        <v>Sony</v>
      </c>
      <c r="K23" s="29"/>
    </row>
    <row r="24" spans="1:11" ht="15.6" x14ac:dyDescent="0.3">
      <c r="A24" s="4" t="s">
        <v>70</v>
      </c>
      <c r="B24" s="5" t="s">
        <v>71</v>
      </c>
      <c r="C24" s="5" t="s">
        <v>72</v>
      </c>
      <c r="D24" s="6">
        <v>150</v>
      </c>
      <c r="E24" s="5">
        <v>30</v>
      </c>
      <c r="F24" s="7" t="s">
        <v>9</v>
      </c>
      <c r="H24" s="29" t="s">
        <v>42</v>
      </c>
      <c r="I24" s="29"/>
      <c r="J24" s="29"/>
      <c r="K24" s="29">
        <f>INDEX(D2:D35,MATCH("25-NOV-AU",A2:A35,0))</f>
        <v>90</v>
      </c>
    </row>
    <row r="25" spans="1:11" ht="15.6" x14ac:dyDescent="0.3">
      <c r="A25" s="8" t="s">
        <v>50</v>
      </c>
      <c r="B25" s="9" t="s">
        <v>51</v>
      </c>
      <c r="C25" s="9" t="s">
        <v>52</v>
      </c>
      <c r="D25" s="10">
        <v>50</v>
      </c>
      <c r="E25" s="9">
        <v>35</v>
      </c>
      <c r="F25" s="11" t="s">
        <v>53</v>
      </c>
      <c r="H25" s="29" t="s">
        <v>45</v>
      </c>
      <c r="I25" s="29"/>
      <c r="J25" s="29" t="str">
        <f>INDEX(C2:C35,MATCH("18-FEB-CA",A2:A35,0))</f>
        <v>Fitbit</v>
      </c>
      <c r="K25" s="29"/>
    </row>
    <row r="26" spans="1:11" x14ac:dyDescent="0.3">
      <c r="A26" s="4" t="s">
        <v>73</v>
      </c>
      <c r="B26" s="5" t="s">
        <v>19</v>
      </c>
      <c r="C26" s="5" t="s">
        <v>74</v>
      </c>
      <c r="D26" s="6">
        <v>800</v>
      </c>
      <c r="E26" s="5">
        <v>45</v>
      </c>
      <c r="F26" s="7" t="s">
        <v>9</v>
      </c>
    </row>
    <row r="27" spans="1:11" x14ac:dyDescent="0.3">
      <c r="A27" s="8" t="s">
        <v>75</v>
      </c>
      <c r="B27" s="9" t="s">
        <v>59</v>
      </c>
      <c r="C27" s="9" t="s">
        <v>76</v>
      </c>
      <c r="D27" s="10">
        <v>130</v>
      </c>
      <c r="E27" s="9">
        <v>25</v>
      </c>
      <c r="F27" s="11" t="s">
        <v>13</v>
      </c>
    </row>
    <row r="28" spans="1:11" x14ac:dyDescent="0.3">
      <c r="A28" s="4" t="s">
        <v>77</v>
      </c>
      <c r="B28" s="5" t="s">
        <v>32</v>
      </c>
      <c r="C28" s="5" t="s">
        <v>78</v>
      </c>
      <c r="D28" s="6">
        <v>400</v>
      </c>
      <c r="E28" s="5">
        <v>40</v>
      </c>
      <c r="F28" s="7" t="s">
        <v>17</v>
      </c>
    </row>
    <row r="29" spans="1:11" x14ac:dyDescent="0.3">
      <c r="A29" s="8" t="s">
        <v>48</v>
      </c>
      <c r="B29" s="9" t="s">
        <v>26</v>
      </c>
      <c r="C29" s="9" t="s">
        <v>49</v>
      </c>
      <c r="D29" s="10">
        <v>230</v>
      </c>
      <c r="E29" s="9">
        <v>20</v>
      </c>
      <c r="F29" s="11" t="s">
        <v>9</v>
      </c>
    </row>
    <row r="30" spans="1:11" x14ac:dyDescent="0.3">
      <c r="A30" s="4" t="s">
        <v>79</v>
      </c>
      <c r="B30" s="5" t="s">
        <v>80</v>
      </c>
      <c r="C30" s="5" t="s">
        <v>81</v>
      </c>
      <c r="D30" s="6">
        <v>60</v>
      </c>
      <c r="E30" s="5">
        <v>30</v>
      </c>
      <c r="F30" s="7" t="s">
        <v>13</v>
      </c>
    </row>
    <row r="31" spans="1:11" x14ac:dyDescent="0.3">
      <c r="A31" s="8" t="s">
        <v>82</v>
      </c>
      <c r="B31" s="9" t="s">
        <v>83</v>
      </c>
      <c r="C31" s="9" t="s">
        <v>84</v>
      </c>
      <c r="D31" s="10">
        <v>40</v>
      </c>
      <c r="E31" s="9">
        <v>10</v>
      </c>
      <c r="F31" s="11" t="s">
        <v>17</v>
      </c>
    </row>
    <row r="32" spans="1:11" x14ac:dyDescent="0.3">
      <c r="A32" s="4" t="s">
        <v>85</v>
      </c>
      <c r="B32" s="5" t="s">
        <v>71</v>
      </c>
      <c r="C32" s="5" t="s">
        <v>86</v>
      </c>
      <c r="D32" s="6">
        <v>130</v>
      </c>
      <c r="E32" s="5">
        <v>5</v>
      </c>
      <c r="F32" s="7" t="s">
        <v>9</v>
      </c>
    </row>
    <row r="33" spans="1:6" x14ac:dyDescent="0.3">
      <c r="A33" s="8" t="s">
        <v>87</v>
      </c>
      <c r="B33" s="9" t="s">
        <v>88</v>
      </c>
      <c r="C33" s="9" t="s">
        <v>89</v>
      </c>
      <c r="D33" s="10">
        <v>50</v>
      </c>
      <c r="E33" s="9">
        <v>50</v>
      </c>
      <c r="F33" s="11" t="s">
        <v>13</v>
      </c>
    </row>
    <row r="34" spans="1:6" x14ac:dyDescent="0.3">
      <c r="A34" s="4" t="s">
        <v>40</v>
      </c>
      <c r="B34" s="5" t="s">
        <v>7</v>
      </c>
      <c r="C34" s="5" t="s">
        <v>41</v>
      </c>
      <c r="D34" s="6">
        <v>950</v>
      </c>
      <c r="E34" s="5">
        <v>25</v>
      </c>
      <c r="F34" s="7" t="s">
        <v>9</v>
      </c>
    </row>
    <row r="35" spans="1:6" x14ac:dyDescent="0.3">
      <c r="A35" s="12" t="s">
        <v>90</v>
      </c>
      <c r="B35" s="13" t="s">
        <v>91</v>
      </c>
      <c r="C35" s="13" t="s">
        <v>92</v>
      </c>
      <c r="D35" s="14">
        <v>100</v>
      </c>
      <c r="E35" s="13">
        <v>20</v>
      </c>
      <c r="F35" s="15" t="s">
        <v>53</v>
      </c>
    </row>
  </sheetData>
  <mergeCells count="1">
    <mergeCell ref="H9:J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Missing data</vt:lpstr>
      <vt:lpstr>Working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2025-11-24T13:49:53Z</dcterms:created>
  <dcterms:modified xsi:type="dcterms:W3CDTF">2025-11-27T15:03:00Z</dcterms:modified>
</cp:coreProperties>
</file>