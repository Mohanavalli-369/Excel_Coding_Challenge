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 Task\"/>
    </mc:Choice>
  </mc:AlternateContent>
  <xr:revisionPtr revIDLastSave="0" documentId="13_ncr:1_{22B5A134-8323-45D1-B0F2-EE346B6541F9}" xr6:coauthVersionLast="47" xr6:coauthVersionMax="47" xr10:uidLastSave="{00000000-0000-0000-0000-000000000000}"/>
  <bookViews>
    <workbookView xWindow="-108" yWindow="-108" windowWidth="23256" windowHeight="12456" activeTab="1" xr2:uid="{993AFC4C-D392-4717-9A56-B732D223A94F}"/>
  </bookViews>
  <sheets>
    <sheet name="Sheet1" sheetId="2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<sst xmlns="http://schemas.openxmlformats.org/spreadsheetml/2006/main" count="219" uniqueCount="99">
  <si>
    <t>Product ID</t>
  </si>
  <si>
    <t>Product Name</t>
  </si>
  <si>
    <t>Brand Name</t>
  </si>
  <si>
    <t>Price ($)</t>
  </si>
  <si>
    <t>Price Range</t>
  </si>
  <si>
    <t>Quantity</t>
  </si>
  <si>
    <t>Category</t>
  </si>
  <si>
    <t>28-JAN-US</t>
  </si>
  <si>
    <t>Laptop</t>
  </si>
  <si>
    <t>Dell</t>
  </si>
  <si>
    <t>High Price</t>
  </si>
  <si>
    <t>Electronics</t>
  </si>
  <si>
    <t>15-FEB-US</t>
  </si>
  <si>
    <t>Sneakers</t>
  </si>
  <si>
    <t>Nike</t>
  </si>
  <si>
    <t>Standard Price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</si>
  <si>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</si>
  <si>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</si>
  <si>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</si>
  <si>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</si>
  <si>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</si>
  <si>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</si>
  <si>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</si>
  <si>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</si>
  <si>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</si>
  <si>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</si>
  <si>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</si>
  <si>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</si>
  <si>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</si>
  <si>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</si>
  <si>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</si>
  <si>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</si>
  <si>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</si>
  <si>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</si>
  <si>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</si>
  <si>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</si>
  <si>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</si>
  <si>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</si>
  <si>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</si>
  <si>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</si>
  <si>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</si>
  <si>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</si>
  <si>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</si>
  <si>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</si>
  <si>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</si>
  <si>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</si>
  <si>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</si>
  <si>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</si>
  <si>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</si>
  <si>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</si>
  <si>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</si>
  <si>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</si>
  <si>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</si>
  <si>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</si>
  <si>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</si>
  <si>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</si>
  <si>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</si>
  <si>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</si>
  <si>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</si>
  <si>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</si>
  <si>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</si>
  <si>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</si>
  <si>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</si>
  <si>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</si>
  <si>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</si>
  <si>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</si>
  <si>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</si>
  <si>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</si>
  <si>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</si>
  <si>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</si>
  <si>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</si>
  <si>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</si>
  <si>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</si>
  <si>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</si>
  <si>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</si>
  <si>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</si>
  <si>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</si>
  <si>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</si>
  <si>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</si>
  <si>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</si>
  <si>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</si>
  <si>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</si>
  <si>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</si>
  <si>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</si>
  <si>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</si>
  <si>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</si>
  <si>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</si>
  <si>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</si>
  <si>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</si>
  <si>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</si>
  <si>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</si>
  <si>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</si>
  <si>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</si>
  <si>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</si>
  <si>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</si>
  <si>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</si>
  <si>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</si>
  <si>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Lookup &amp; Reference Functions (Part 1)</t>
  </si>
  <si>
    <t xml:space="preserve">I created a second Table by using VLOOKUP() functions and I cleaned data set and look clean and neet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</si>
</sst>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b/>
      <sz val="10"/>
      <color theme="0"/>
      <name val="Arial Rounded MT Bold"/>
      <family val="2"/>
    </font>
    <font>
      <b/>
      <sz val="11"/>
      <color theme="1"/>
      <name val="Aptos"/>
      <family val="2"/>
    </font>
    <font>
      <b/>
      <sz val="13.95"/>
      <color rgb="FF0B5394"/>
      <name val="Arial"/>
      <family val="2"/>
    </font>
    <font>
      <b/>
      <sz val="13.95"/>
      <color rgb="FF000000"/>
      <name val="Arial"/>
      <family val="2"/>
    </font>
    <font>
      <b/>
      <sz val="12"/>
      <color theme="5"/>
      <name val="Calibri"/>
      <family val="2"/>
      <scheme val="minor"/>
    </font>
    <font>
      <b/>
      <sz val="16"/>
      <color rgb="FF0B5394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  <fill>
      <patternFill patternType="solid">
        <fgColor rgb="FFF63C68"/>
        <bgColor rgb="FF4DD0E1"/>
      </patternFill>
    </fill>
    <fill>
      <patternFill patternType="solid">
        <fgColor rgb="FFB9EF3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8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0" fontId="1" fillId="3" borderId="8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left"/>
    </xf>
    <xf numFmtId="0" fontId="1" fillId="2" borderId="6" xfId="0" applyFont="1" applyFill="1" applyBorder="1"/>
    <xf numFmtId="0" fontId="1" fillId="3" borderId="9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5" borderId="0" xfId="0" applyFont="1" applyFill="1"/>
    <xf numFmtId="0" fontId="1" fillId="3" borderId="10" xfId="0" applyFont="1" applyFill="1" applyBorder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Rounded MT Bold"/>
        <family val="2"/>
        <scheme val="none"/>
      </font>
      <fill>
        <patternFill patternType="solid">
          <fgColor rgb="FF4DD0E1"/>
          <bgColor rgb="FFF63C6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auto="1"/>
        </bottom>
      </border>
    </dxf>
    <dxf>
      <border outline="0">
        <right style="thin">
          <color indexed="64"/>
        </right>
      </border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none"/>
      </font>
      <fill>
        <patternFill patternType="solid">
          <fgColor rgb="FFE0F7FA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B9EF3F"/>
      <color rgb="FFF63C6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81BCB-383F-4CBB-8D9B-C0CBE083BA0D}" name="Table13" displayName="Table13" ref="A1:G35" totalsRowShown="0" headerRowDxfId="0" dataDxfId="4" headerRowBorderDxfId="2" tableBorderDxfId="3" totalsRowBorderDxfId="1">
  <autoFilter ref="A1:G35" xr:uid="{60A81BCB-383F-4CBB-8D9B-C0CBE083BA0D}"/>
  <tableColumns count="7">
    <tableColumn id="1" xr3:uid="{0B3FF276-A215-46B6-983A-44E9C5250A2A}" name="Product ID" dataDxfId="11"/>
    <tableColumn id="2" xr3:uid="{35AEA4BD-C73C-4436-95CA-DA5056B88676}" name="Product Name" dataDxfId="10"/>
    <tableColumn id="3" xr3:uid="{2D61AECA-9439-4475-A690-04A4B0BC0654}" name="Brand Name" dataDxfId="9"/>
    <tableColumn id="4" xr3:uid="{01F7E287-CF84-411A-B503-BA62276BC5AF}" name="Price ($)" dataDxfId="8"/>
    <tableColumn id="5" xr3:uid="{82736BC9-346C-4391-B305-27318A601E00}" name="Price Range" dataDxfId="7"/>
    <tableColumn id="6" xr3:uid="{6FE5441C-B296-4ECA-B64B-13A3DDD761AA}" name="Quantity" dataDxfId="6"/>
    <tableColumn id="7" xr3:uid="{5518D0B1-A3DE-4570-BD0D-8CE17CE4DE7B}" name="Categor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42F3-D2FA-49B2-8916-D3224A262ED7}">
  <dimension ref="A1:G35"/>
  <sheetViews>
    <sheetView workbookViewId="0">
      <selection activeCell="L7" sqref="L7"/>
    </sheetView>
  </sheetViews>
  <sheetFormatPr defaultRowHeight="14.4" x14ac:dyDescent="0.3"/>
  <cols>
    <col min="1" max="1" width="16.21875" bestFit="1" customWidth="1"/>
    <col min="2" max="2" width="19.88671875" bestFit="1" customWidth="1"/>
    <col min="3" max="3" width="18" bestFit="1" customWidth="1"/>
    <col min="4" max="4" width="14.109375" bestFit="1" customWidth="1"/>
    <col min="5" max="5" width="17.88671875" bestFit="1" customWidth="1"/>
    <col min="6" max="6" width="14" bestFit="1" customWidth="1"/>
    <col min="7" max="7" width="14.77734375" bestFit="1" customWidth="1"/>
  </cols>
  <sheetData>
    <row r="1" spans="1:7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 x14ac:dyDescent="0.3">
      <c r="A2" s="1" t="s">
        <v>7</v>
      </c>
      <c r="B2" s="2" t="s">
        <v>8</v>
      </c>
      <c r="C2" s="2" t="s">
        <v>9</v>
      </c>
      <c r="D2" s="3">
        <v>1000</v>
      </c>
      <c r="E2" s="2" t="s">
        <v>10</v>
      </c>
      <c r="F2" s="2">
        <v>30</v>
      </c>
      <c r="G2" s="4" t="s">
        <v>11</v>
      </c>
    </row>
    <row r="3" spans="1:7" x14ac:dyDescent="0.3">
      <c r="A3" s="5" t="s">
        <v>12</v>
      </c>
      <c r="B3" s="6" t="s">
        <v>13</v>
      </c>
      <c r="C3" s="6" t="s">
        <v>14</v>
      </c>
      <c r="D3" s="7">
        <v>80</v>
      </c>
      <c r="E3" s="2" t="s">
        <v>15</v>
      </c>
      <c r="F3" s="6">
        <v>15</v>
      </c>
      <c r="G3" s="8" t="s">
        <v>16</v>
      </c>
    </row>
    <row r="4" spans="1:7" x14ac:dyDescent="0.3">
      <c r="A4" s="1" t="s">
        <v>17</v>
      </c>
      <c r="B4" s="2" t="s">
        <v>18</v>
      </c>
      <c r="C4" s="2" t="s">
        <v>19</v>
      </c>
      <c r="D4" s="3">
        <v>130</v>
      </c>
      <c r="E4" s="2" t="s">
        <v>15</v>
      </c>
      <c r="F4" s="2">
        <v>40</v>
      </c>
      <c r="G4" s="4" t="s">
        <v>20</v>
      </c>
    </row>
    <row r="5" spans="1:7" x14ac:dyDescent="0.3">
      <c r="A5" s="5" t="s">
        <v>21</v>
      </c>
      <c r="B5" s="6" t="s">
        <v>22</v>
      </c>
      <c r="C5" s="6" t="s">
        <v>23</v>
      </c>
      <c r="D5" s="7">
        <v>900</v>
      </c>
      <c r="E5" s="2" t="s">
        <v>10</v>
      </c>
      <c r="F5" s="6">
        <v>25</v>
      </c>
      <c r="G5" s="8" t="s">
        <v>11</v>
      </c>
    </row>
    <row r="6" spans="1:7" x14ac:dyDescent="0.3">
      <c r="A6" s="1" t="s">
        <v>24</v>
      </c>
      <c r="B6" s="2" t="s">
        <v>25</v>
      </c>
      <c r="C6" s="2" t="s">
        <v>26</v>
      </c>
      <c r="D6" s="3">
        <v>70</v>
      </c>
      <c r="E6" s="2" t="s">
        <v>15</v>
      </c>
      <c r="F6" s="2">
        <v>20</v>
      </c>
      <c r="G6" s="4" t="s">
        <v>27</v>
      </c>
    </row>
    <row r="7" spans="1:7" x14ac:dyDescent="0.3">
      <c r="A7" s="5" t="s">
        <v>28</v>
      </c>
      <c r="B7" s="6" t="s">
        <v>29</v>
      </c>
      <c r="C7" s="6" t="s">
        <v>30</v>
      </c>
      <c r="D7" s="7">
        <v>200</v>
      </c>
      <c r="E7" s="2" t="s">
        <v>15</v>
      </c>
      <c r="F7" s="6">
        <v>45</v>
      </c>
      <c r="G7" s="8" t="s">
        <v>11</v>
      </c>
    </row>
    <row r="8" spans="1:7" x14ac:dyDescent="0.3">
      <c r="A8" s="1" t="s">
        <v>31</v>
      </c>
      <c r="B8" s="2" t="s">
        <v>32</v>
      </c>
      <c r="C8" s="2" t="s">
        <v>33</v>
      </c>
      <c r="D8" s="3">
        <v>30</v>
      </c>
      <c r="E8" s="2" t="s">
        <v>15</v>
      </c>
      <c r="F8" s="2">
        <v>5</v>
      </c>
      <c r="G8" s="4" t="s">
        <v>16</v>
      </c>
    </row>
    <row r="9" spans="1:7" x14ac:dyDescent="0.3">
      <c r="A9" s="5" t="s">
        <v>34</v>
      </c>
      <c r="B9" s="6" t="s">
        <v>35</v>
      </c>
      <c r="C9" s="6" t="s">
        <v>36</v>
      </c>
      <c r="D9" s="7">
        <v>90</v>
      </c>
      <c r="E9" s="2" t="s">
        <v>15</v>
      </c>
      <c r="F9" s="6">
        <v>35</v>
      </c>
      <c r="G9" s="8" t="s">
        <v>20</v>
      </c>
    </row>
    <row r="10" spans="1:7" x14ac:dyDescent="0.3">
      <c r="A10" s="1" t="s">
        <v>37</v>
      </c>
      <c r="B10" s="2" t="s">
        <v>38</v>
      </c>
      <c r="C10" s="2" t="s">
        <v>39</v>
      </c>
      <c r="D10" s="3">
        <v>500</v>
      </c>
      <c r="E10" s="2" t="s">
        <v>10</v>
      </c>
      <c r="F10" s="2">
        <v>50</v>
      </c>
      <c r="G10" s="4" t="s">
        <v>11</v>
      </c>
    </row>
    <row r="11" spans="1:7" x14ac:dyDescent="0.3">
      <c r="A11" s="5" t="s">
        <v>40</v>
      </c>
      <c r="B11" s="6" t="s">
        <v>41</v>
      </c>
      <c r="C11" s="6" t="s">
        <v>42</v>
      </c>
      <c r="D11" s="7">
        <v>130</v>
      </c>
      <c r="E11" s="2" t="s">
        <v>15</v>
      </c>
      <c r="F11" s="6">
        <v>10</v>
      </c>
      <c r="G11" s="8" t="s">
        <v>27</v>
      </c>
    </row>
    <row r="12" spans="1:7" x14ac:dyDescent="0.3">
      <c r="A12" s="1" t="s">
        <v>43</v>
      </c>
      <c r="B12" s="2" t="s">
        <v>8</v>
      </c>
      <c r="C12" s="2" t="s">
        <v>44</v>
      </c>
      <c r="D12" s="3">
        <v>950</v>
      </c>
      <c r="E12" s="2" t="s">
        <v>10</v>
      </c>
      <c r="F12" s="2">
        <v>25</v>
      </c>
      <c r="G12" s="4" t="s">
        <v>11</v>
      </c>
    </row>
    <row r="13" spans="1:7" x14ac:dyDescent="0.3">
      <c r="A13" s="5" t="s">
        <v>45</v>
      </c>
      <c r="B13" s="6" t="s">
        <v>13</v>
      </c>
      <c r="C13" s="6" t="s">
        <v>33</v>
      </c>
      <c r="D13" s="7">
        <v>90</v>
      </c>
      <c r="E13" s="2" t="s">
        <v>15</v>
      </c>
      <c r="F13" s="6">
        <v>40</v>
      </c>
      <c r="G13" s="8" t="s">
        <v>16</v>
      </c>
    </row>
    <row r="14" spans="1:7" x14ac:dyDescent="0.3">
      <c r="A14" s="1" t="s">
        <v>46</v>
      </c>
      <c r="B14" s="2" t="s">
        <v>18</v>
      </c>
      <c r="C14" s="2" t="s">
        <v>47</v>
      </c>
      <c r="D14" s="3">
        <v>120</v>
      </c>
      <c r="E14" s="2" t="s">
        <v>15</v>
      </c>
      <c r="F14" s="2">
        <v>35</v>
      </c>
      <c r="G14" s="4" t="s">
        <v>20</v>
      </c>
    </row>
    <row r="15" spans="1:7" x14ac:dyDescent="0.3">
      <c r="A15" s="5" t="s">
        <v>48</v>
      </c>
      <c r="B15" s="6" t="s">
        <v>49</v>
      </c>
      <c r="C15" s="6" t="s">
        <v>50</v>
      </c>
      <c r="D15" s="7">
        <v>150</v>
      </c>
      <c r="E15" s="2" t="s">
        <v>15</v>
      </c>
      <c r="F15" s="6">
        <v>15</v>
      </c>
      <c r="G15" s="8" t="s">
        <v>11</v>
      </c>
    </row>
    <row r="16" spans="1:7" x14ac:dyDescent="0.3">
      <c r="A16" s="1" t="s">
        <v>51</v>
      </c>
      <c r="B16" s="2" t="s">
        <v>29</v>
      </c>
      <c r="C16" s="2" t="s">
        <v>52</v>
      </c>
      <c r="D16" s="3">
        <v>250</v>
      </c>
      <c r="E16" s="2" t="s">
        <v>15</v>
      </c>
      <c r="F16" s="2">
        <v>20</v>
      </c>
      <c r="G16" s="4" t="s">
        <v>11</v>
      </c>
    </row>
    <row r="17" spans="1:7" x14ac:dyDescent="0.3">
      <c r="A17" s="5" t="s">
        <v>53</v>
      </c>
      <c r="B17" s="6" t="s">
        <v>54</v>
      </c>
      <c r="C17" s="6" t="s">
        <v>55</v>
      </c>
      <c r="D17" s="7">
        <v>50</v>
      </c>
      <c r="E17" s="2" t="s">
        <v>15</v>
      </c>
      <c r="F17" s="6">
        <v>35</v>
      </c>
      <c r="G17" s="8" t="s">
        <v>56</v>
      </c>
    </row>
    <row r="18" spans="1:7" x14ac:dyDescent="0.3">
      <c r="A18" s="1" t="s">
        <v>57</v>
      </c>
      <c r="B18" s="2" t="s">
        <v>49</v>
      </c>
      <c r="C18" s="2" t="s">
        <v>58</v>
      </c>
      <c r="D18" s="3">
        <v>160</v>
      </c>
      <c r="E18" s="2" t="s">
        <v>15</v>
      </c>
      <c r="F18" s="2">
        <v>15</v>
      </c>
      <c r="G18" s="4" t="s">
        <v>11</v>
      </c>
    </row>
    <row r="19" spans="1:7" x14ac:dyDescent="0.3">
      <c r="A19" s="5" t="s">
        <v>59</v>
      </c>
      <c r="B19" s="6" t="s">
        <v>8</v>
      </c>
      <c r="C19" s="6" t="s">
        <v>60</v>
      </c>
      <c r="D19" s="7">
        <v>980</v>
      </c>
      <c r="E19" s="2" t="s">
        <v>10</v>
      </c>
      <c r="F19" s="6">
        <v>10</v>
      </c>
      <c r="G19" s="8" t="s">
        <v>11</v>
      </c>
    </row>
    <row r="20" spans="1:7" x14ac:dyDescent="0.3">
      <c r="A20" s="1" t="s">
        <v>61</v>
      </c>
      <c r="B20" s="2" t="s">
        <v>62</v>
      </c>
      <c r="C20" s="2" t="s">
        <v>63</v>
      </c>
      <c r="D20" s="3">
        <v>150</v>
      </c>
      <c r="E20" s="2" t="s">
        <v>15</v>
      </c>
      <c r="F20" s="2">
        <v>15</v>
      </c>
      <c r="G20" s="4" t="s">
        <v>16</v>
      </c>
    </row>
    <row r="21" spans="1:7" x14ac:dyDescent="0.3">
      <c r="A21" s="5" t="s">
        <v>64</v>
      </c>
      <c r="B21" s="6" t="s">
        <v>65</v>
      </c>
      <c r="C21" s="6" t="s">
        <v>66</v>
      </c>
      <c r="D21" s="7">
        <v>200</v>
      </c>
      <c r="E21" s="2" t="s">
        <v>15</v>
      </c>
      <c r="F21" s="6">
        <v>10</v>
      </c>
      <c r="G21" s="8" t="s">
        <v>27</v>
      </c>
    </row>
    <row r="22" spans="1:7" x14ac:dyDescent="0.3">
      <c r="A22" s="1" t="s">
        <v>67</v>
      </c>
      <c r="B22" s="2" t="s">
        <v>68</v>
      </c>
      <c r="C22" s="2" t="s">
        <v>69</v>
      </c>
      <c r="D22" s="3">
        <v>700</v>
      </c>
      <c r="E22" s="2" t="s">
        <v>10</v>
      </c>
      <c r="F22" s="2">
        <v>50</v>
      </c>
      <c r="G22" s="4" t="s">
        <v>11</v>
      </c>
    </row>
    <row r="23" spans="1:7" x14ac:dyDescent="0.3">
      <c r="A23" s="5" t="s">
        <v>70</v>
      </c>
      <c r="B23" s="6" t="s">
        <v>71</v>
      </c>
      <c r="C23" s="6" t="s">
        <v>72</v>
      </c>
      <c r="D23" s="7">
        <v>80</v>
      </c>
      <c r="E23" s="2" t="s">
        <v>15</v>
      </c>
      <c r="F23" s="6">
        <v>20</v>
      </c>
      <c r="G23" s="8" t="s">
        <v>20</v>
      </c>
    </row>
    <row r="24" spans="1:7" x14ac:dyDescent="0.3">
      <c r="A24" s="1" t="s">
        <v>73</v>
      </c>
      <c r="B24" s="2" t="s">
        <v>74</v>
      </c>
      <c r="C24" s="2" t="s">
        <v>75</v>
      </c>
      <c r="D24" s="3">
        <v>150</v>
      </c>
      <c r="E24" s="2" t="s">
        <v>15</v>
      </c>
      <c r="F24" s="2">
        <v>30</v>
      </c>
      <c r="G24" s="4" t="s">
        <v>11</v>
      </c>
    </row>
    <row r="25" spans="1:7" x14ac:dyDescent="0.3">
      <c r="A25" s="5" t="s">
        <v>53</v>
      </c>
      <c r="B25" s="6" t="s">
        <v>54</v>
      </c>
      <c r="C25" s="6" t="s">
        <v>55</v>
      </c>
      <c r="D25" s="7">
        <v>50</v>
      </c>
      <c r="E25" s="2" t="s">
        <v>15</v>
      </c>
      <c r="F25" s="6">
        <v>35</v>
      </c>
      <c r="G25" s="8" t="s">
        <v>56</v>
      </c>
    </row>
    <row r="26" spans="1:7" x14ac:dyDescent="0.3">
      <c r="A26" s="1" t="s">
        <v>76</v>
      </c>
      <c r="B26" s="2" t="s">
        <v>22</v>
      </c>
      <c r="C26" s="2" t="s">
        <v>77</v>
      </c>
      <c r="D26" s="3">
        <v>800</v>
      </c>
      <c r="E26" s="2" t="s">
        <v>10</v>
      </c>
      <c r="F26" s="2">
        <v>45</v>
      </c>
      <c r="G26" s="4" t="s">
        <v>11</v>
      </c>
    </row>
    <row r="27" spans="1:7" x14ac:dyDescent="0.3">
      <c r="A27" s="5" t="s">
        <v>78</v>
      </c>
      <c r="B27" s="6" t="s">
        <v>62</v>
      </c>
      <c r="C27" s="6" t="s">
        <v>79</v>
      </c>
      <c r="D27" s="7">
        <v>130</v>
      </c>
      <c r="E27" s="2" t="s">
        <v>15</v>
      </c>
      <c r="F27" s="6">
        <v>25</v>
      </c>
      <c r="G27" s="8" t="s">
        <v>16</v>
      </c>
    </row>
    <row r="28" spans="1:7" x14ac:dyDescent="0.3">
      <c r="A28" s="1" t="s">
        <v>80</v>
      </c>
      <c r="B28" s="2" t="s">
        <v>35</v>
      </c>
      <c r="C28" s="2" t="s">
        <v>81</v>
      </c>
      <c r="D28" s="3">
        <v>400</v>
      </c>
      <c r="E28" s="2" t="s">
        <v>15</v>
      </c>
      <c r="F28" s="2">
        <v>40</v>
      </c>
      <c r="G28" s="4" t="s">
        <v>20</v>
      </c>
    </row>
    <row r="29" spans="1:7" x14ac:dyDescent="0.3">
      <c r="A29" s="5" t="s">
        <v>51</v>
      </c>
      <c r="B29" s="6" t="s">
        <v>29</v>
      </c>
      <c r="C29" s="6" t="s">
        <v>52</v>
      </c>
      <c r="D29" s="7">
        <v>230</v>
      </c>
      <c r="E29" s="2" t="s">
        <v>15</v>
      </c>
      <c r="F29" s="6">
        <v>20</v>
      </c>
      <c r="G29" s="8" t="s">
        <v>11</v>
      </c>
    </row>
    <row r="30" spans="1:7" x14ac:dyDescent="0.3">
      <c r="A30" s="1" t="s">
        <v>82</v>
      </c>
      <c r="B30" s="2" t="s">
        <v>83</v>
      </c>
      <c r="C30" s="2" t="s">
        <v>84</v>
      </c>
      <c r="D30" s="3">
        <v>60</v>
      </c>
      <c r="E30" s="2" t="s">
        <v>15</v>
      </c>
      <c r="F30" s="2">
        <v>30</v>
      </c>
      <c r="G30" s="4" t="s">
        <v>16</v>
      </c>
    </row>
    <row r="31" spans="1:7" x14ac:dyDescent="0.3">
      <c r="A31" s="5" t="s">
        <v>85</v>
      </c>
      <c r="B31" s="6" t="s">
        <v>86</v>
      </c>
      <c r="C31" s="6" t="s">
        <v>87</v>
      </c>
      <c r="D31" s="7">
        <v>40</v>
      </c>
      <c r="E31" s="2" t="s">
        <v>15</v>
      </c>
      <c r="F31" s="6">
        <v>10</v>
      </c>
      <c r="G31" s="8" t="s">
        <v>20</v>
      </c>
    </row>
    <row r="32" spans="1:7" x14ac:dyDescent="0.3">
      <c r="A32" s="1" t="s">
        <v>88</v>
      </c>
      <c r="B32" s="2" t="s">
        <v>74</v>
      </c>
      <c r="C32" s="2" t="s">
        <v>89</v>
      </c>
      <c r="D32" s="3">
        <v>130</v>
      </c>
      <c r="E32" s="2" t="s">
        <v>15</v>
      </c>
      <c r="F32" s="2">
        <v>5</v>
      </c>
      <c r="G32" s="4" t="s">
        <v>11</v>
      </c>
    </row>
    <row r="33" spans="1:7" x14ac:dyDescent="0.3">
      <c r="A33" s="5" t="s">
        <v>90</v>
      </c>
      <c r="B33" s="6" t="s">
        <v>91</v>
      </c>
      <c r="C33" s="6" t="s">
        <v>92</v>
      </c>
      <c r="D33" s="7">
        <v>50</v>
      </c>
      <c r="E33" s="2" t="s">
        <v>15</v>
      </c>
      <c r="F33" s="6">
        <v>50</v>
      </c>
      <c r="G33" s="8" t="s">
        <v>16</v>
      </c>
    </row>
    <row r="34" spans="1:7" x14ac:dyDescent="0.3">
      <c r="A34" s="1" t="s">
        <v>43</v>
      </c>
      <c r="B34" s="2" t="s">
        <v>8</v>
      </c>
      <c r="C34" s="2" t="s">
        <v>44</v>
      </c>
      <c r="D34" s="3">
        <v>950</v>
      </c>
      <c r="E34" s="2" t="s">
        <v>10</v>
      </c>
      <c r="F34" s="2">
        <v>25</v>
      </c>
      <c r="G34" s="4" t="s">
        <v>11</v>
      </c>
    </row>
    <row r="35" spans="1:7" x14ac:dyDescent="0.3">
      <c r="A35" s="9" t="s">
        <v>93</v>
      </c>
      <c r="B35" s="10" t="s">
        <v>94</v>
      </c>
      <c r="C35" s="10" t="s">
        <v>95</v>
      </c>
      <c r="D35" s="11">
        <v>100</v>
      </c>
      <c r="E35" s="12" t="s">
        <v>15</v>
      </c>
      <c r="F35" s="10">
        <v>20</v>
      </c>
      <c r="G35" s="13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DF962-F4E6-496C-9A60-D27A490FCE12}">
  <dimension ref="A1:F35"/>
  <sheetViews>
    <sheetView tabSelected="1" zoomScale="128" zoomScaleNormal="100" workbookViewId="0">
      <selection activeCell="I12" sqref="I12"/>
    </sheetView>
  </sheetViews>
  <sheetFormatPr defaultRowHeight="14.4" x14ac:dyDescent="0.3"/>
  <cols>
    <col min="1" max="1" width="14.6640625" bestFit="1" customWidth="1"/>
    <col min="2" max="2" width="12.6640625" bestFit="1" customWidth="1"/>
    <col min="3" max="3" width="5.88671875" bestFit="1" customWidth="1"/>
    <col min="4" max="4" width="13.21875" bestFit="1" customWidth="1"/>
    <col min="5" max="5" width="9.21875" bestFit="1" customWidth="1"/>
    <col min="6" max="6" width="10.5546875" bestFit="1" customWidth="1"/>
  </cols>
  <sheetData>
    <row r="1" spans="1:6" x14ac:dyDescent="0.3">
      <c r="A1" s="17" t="s">
        <v>1</v>
      </c>
      <c r="B1" s="17" t="s">
        <v>2</v>
      </c>
      <c r="C1" s="17" t="s">
        <v>96</v>
      </c>
      <c r="D1" s="17" t="s">
        <v>4</v>
      </c>
      <c r="E1" s="17" t="s">
        <v>5</v>
      </c>
      <c r="F1" s="17" t="s">
        <v>6</v>
      </c>
    </row>
    <row r="2" spans="1:6" x14ac:dyDescent="0.3">
      <c r="A2" s="2" t="s">
        <v>8</v>
      </c>
      <c r="B2" t="str">
        <f>VLOOKUP($A2,Table13[[Product Name]:[Category]],2,0)</f>
        <v>Dell</v>
      </c>
      <c r="C2">
        <f>VLOOKUP($A2,Table13[[Product Name]:[Category]],3,0)</f>
        <v>1000</v>
      </c>
      <c r="D2" t="str">
        <f>VLOOKUP($A2,Table13[[Product Name]:[Category]],4,0)</f>
        <v>High Price</v>
      </c>
      <c r="E2">
        <f>VLOOKUP($A2,Table13[[Product Name]:[Category]],5,0)</f>
        <v>30</v>
      </c>
      <c r="F2" t="str">
        <f>VLOOKUP($A2,Table13[[Product Name]:[Category]],6,0)</f>
        <v>Electronics</v>
      </c>
    </row>
    <row r="3" spans="1:6" x14ac:dyDescent="0.3">
      <c r="A3" s="6" t="s">
        <v>13</v>
      </c>
      <c r="B3" t="str">
        <f>VLOOKUP($A3,Table13[[Product Name]:[Category]],2,0)</f>
        <v>Nike</v>
      </c>
      <c r="C3">
        <f>VLOOKUP($A3,Table13[[Product Name]:[Category]],3,0)</f>
        <v>80</v>
      </c>
      <c r="D3" t="str">
        <f>VLOOKUP($A3,Table13[[Product Name]:[Category]],4,0)</f>
        <v>Standard Price</v>
      </c>
      <c r="E3">
        <f>VLOOKUP($A3,Table13[[Product Name]:[Category]],5,0)</f>
        <v>15</v>
      </c>
      <c r="F3" t="str">
        <f>VLOOKUP($A3,Table13[[Product Name]:[Category]],6,0)</f>
        <v>Fashion</v>
      </c>
    </row>
    <row r="4" spans="1:6" x14ac:dyDescent="0.3">
      <c r="A4" s="2" t="s">
        <v>18</v>
      </c>
      <c r="B4" t="str">
        <f>VLOOKUP($A4,Table13[[Product Name]:[Category]],2,0)</f>
        <v>Keurig</v>
      </c>
      <c r="C4">
        <f>VLOOKUP($A4,Table13[[Product Name]:[Category]],3,0)</f>
        <v>130</v>
      </c>
      <c r="D4" t="str">
        <f>VLOOKUP($A4,Table13[[Product Name]:[Category]],4,0)</f>
        <v>Standard Price</v>
      </c>
      <c r="E4">
        <f>VLOOKUP($A4,Table13[[Product Name]:[Category]],5,0)</f>
        <v>40</v>
      </c>
      <c r="F4" t="str">
        <f>VLOOKUP($A4,Table13[[Product Name]:[Category]],6,0)</f>
        <v>Kitchen</v>
      </c>
    </row>
    <row r="5" spans="1:6" x14ac:dyDescent="0.3">
      <c r="A5" s="6" t="s">
        <v>22</v>
      </c>
      <c r="B5" t="str">
        <f>VLOOKUP($A5,Table13[[Product Name]:[Category]],2,0)</f>
        <v>Samsung</v>
      </c>
      <c r="C5">
        <f>VLOOKUP($A5,Table13[[Product Name]:[Category]],3,0)</f>
        <v>900</v>
      </c>
      <c r="D5" t="str">
        <f>VLOOKUP($A5,Table13[[Product Name]:[Category]],4,0)</f>
        <v>High Price</v>
      </c>
      <c r="E5">
        <f>VLOOKUP($A5,Table13[[Product Name]:[Category]],5,0)</f>
        <v>25</v>
      </c>
      <c r="F5" t="str">
        <f>VLOOKUP($A5,Table13[[Product Name]:[Category]],6,0)</f>
        <v>Electronics</v>
      </c>
    </row>
    <row r="6" spans="1:6" x14ac:dyDescent="0.3">
      <c r="A6" s="2" t="s">
        <v>25</v>
      </c>
      <c r="B6" t="str">
        <f>VLOOKUP($A6,Table13[[Product Name]:[Category]],2,0)</f>
        <v>North Face</v>
      </c>
      <c r="C6">
        <f>VLOOKUP($A6,Table13[[Product Name]:[Category]],3,0)</f>
        <v>70</v>
      </c>
      <c r="D6" t="str">
        <f>VLOOKUP($A6,Table13[[Product Name]:[Category]],4,0)</f>
        <v>Standard Price</v>
      </c>
      <c r="E6">
        <f>VLOOKUP($A6,Table13[[Product Name]:[Category]],5,0)</f>
        <v>20</v>
      </c>
      <c r="F6" t="str">
        <f>VLOOKUP($A6,Table13[[Product Name]:[Category]],6,0)</f>
        <v>Outdoor</v>
      </c>
    </row>
    <row r="7" spans="1:6" x14ac:dyDescent="0.3">
      <c r="A7" s="6" t="s">
        <v>29</v>
      </c>
      <c r="B7" t="str">
        <f>VLOOKUP($A7,Table13[[Product Name]:[Category]],2,0)</f>
        <v>Sony</v>
      </c>
      <c r="C7">
        <f>VLOOKUP($A7,Table13[[Product Name]:[Category]],3,0)</f>
        <v>200</v>
      </c>
      <c r="D7" t="str">
        <f>VLOOKUP($A7,Table13[[Product Name]:[Category]],4,0)</f>
        <v>Standard Price</v>
      </c>
      <c r="E7">
        <f>VLOOKUP($A7,Table13[[Product Name]:[Category]],5,0)</f>
        <v>45</v>
      </c>
      <c r="F7" t="str">
        <f>VLOOKUP($A7,Table13[[Product Name]:[Category]],6,0)</f>
        <v>Electronics</v>
      </c>
    </row>
    <row r="8" spans="1:6" x14ac:dyDescent="0.3">
      <c r="A8" s="2" t="s">
        <v>32</v>
      </c>
      <c r="B8" t="str">
        <f>VLOOKUP($A8,Table13[[Product Name]:[Category]],2,0)</f>
        <v>Adidas</v>
      </c>
      <c r="C8">
        <f>VLOOKUP($A8,Table13[[Product Name]:[Category]],3,0)</f>
        <v>30</v>
      </c>
      <c r="D8" t="str">
        <f>VLOOKUP($A8,Table13[[Product Name]:[Category]],4,0)</f>
        <v>Standard Price</v>
      </c>
      <c r="E8">
        <f>VLOOKUP($A8,Table13[[Product Name]:[Category]],5,0)</f>
        <v>5</v>
      </c>
      <c r="F8" t="str">
        <f>VLOOKUP($A8,Table13[[Product Name]:[Category]],6,0)</f>
        <v>Fashion</v>
      </c>
    </row>
    <row r="9" spans="1:6" x14ac:dyDescent="0.3">
      <c r="A9" s="6" t="s">
        <v>35</v>
      </c>
      <c r="B9" t="str">
        <f>VLOOKUP($A9,Table13[[Product Name]:[Category]],2,0)</f>
        <v>Ninja</v>
      </c>
      <c r="C9">
        <f>VLOOKUP($A9,Table13[[Product Name]:[Category]],3,0)</f>
        <v>90</v>
      </c>
      <c r="D9" t="str">
        <f>VLOOKUP($A9,Table13[[Product Name]:[Category]],4,0)</f>
        <v>Standard Price</v>
      </c>
      <c r="E9">
        <f>VLOOKUP($A9,Table13[[Product Name]:[Category]],5,0)</f>
        <v>35</v>
      </c>
      <c r="F9" t="str">
        <f>VLOOKUP($A9,Table13[[Product Name]:[Category]],6,0)</f>
        <v>Kitchen</v>
      </c>
    </row>
    <row r="10" spans="1:6" x14ac:dyDescent="0.3">
      <c r="A10" s="2" t="s">
        <v>38</v>
      </c>
      <c r="B10" t="str">
        <f>VLOOKUP($A10,Table13[[Product Name]:[Category]],2,0)</f>
        <v>Apple</v>
      </c>
      <c r="C10">
        <f>VLOOKUP($A10,Table13[[Product Name]:[Category]],3,0)</f>
        <v>500</v>
      </c>
      <c r="D10" t="str">
        <f>VLOOKUP($A10,Table13[[Product Name]:[Category]],4,0)</f>
        <v>High Price</v>
      </c>
      <c r="E10">
        <f>VLOOKUP($A10,Table13[[Product Name]:[Category]],5,0)</f>
        <v>50</v>
      </c>
      <c r="F10" t="str">
        <f>VLOOKUP($A10,Table13[[Product Name]:[Category]],6,0)</f>
        <v>Electronics</v>
      </c>
    </row>
    <row r="11" spans="1:6" x14ac:dyDescent="0.3">
      <c r="A11" s="6" t="s">
        <v>41</v>
      </c>
      <c r="B11" t="str">
        <f>VLOOKUP($A11,Table13[[Product Name]:[Category]],2,0)</f>
        <v>Timberland</v>
      </c>
      <c r="C11">
        <f>VLOOKUP($A11,Table13[[Product Name]:[Category]],3,0)</f>
        <v>130</v>
      </c>
      <c r="D11" t="str">
        <f>VLOOKUP($A11,Table13[[Product Name]:[Category]],4,0)</f>
        <v>Standard Price</v>
      </c>
      <c r="E11">
        <f>VLOOKUP($A11,Table13[[Product Name]:[Category]],5,0)</f>
        <v>10</v>
      </c>
      <c r="F11" t="str">
        <f>VLOOKUP($A11,Table13[[Product Name]:[Category]],6,0)</f>
        <v>Outdoor</v>
      </c>
    </row>
    <row r="12" spans="1:6" x14ac:dyDescent="0.3">
      <c r="A12" s="2" t="s">
        <v>8</v>
      </c>
      <c r="B12" t="str">
        <f>VLOOKUP($A12,Table13[[Product Name]:[Category]],2,0)</f>
        <v>Dell</v>
      </c>
      <c r="C12">
        <f>VLOOKUP($A12,Table13[[Product Name]:[Category]],3,0)</f>
        <v>1000</v>
      </c>
      <c r="D12" t="str">
        <f>VLOOKUP($A12,Table13[[Product Name]:[Category]],4,0)</f>
        <v>High Price</v>
      </c>
      <c r="E12">
        <f>VLOOKUP($A12,Table13[[Product Name]:[Category]],5,0)</f>
        <v>30</v>
      </c>
      <c r="F12" t="str">
        <f>VLOOKUP($A12,Table13[[Product Name]:[Category]],6,0)</f>
        <v>Electronics</v>
      </c>
    </row>
    <row r="13" spans="1:6" x14ac:dyDescent="0.3">
      <c r="A13" s="6" t="s">
        <v>13</v>
      </c>
      <c r="B13" t="str">
        <f>VLOOKUP($A13,Table13[[Product Name]:[Category]],2,0)</f>
        <v>Nike</v>
      </c>
      <c r="C13">
        <f>VLOOKUP($A13,Table13[[Product Name]:[Category]],3,0)</f>
        <v>80</v>
      </c>
      <c r="D13" t="str">
        <f>VLOOKUP($A13,Table13[[Product Name]:[Category]],4,0)</f>
        <v>Standard Price</v>
      </c>
      <c r="E13">
        <f>VLOOKUP($A13,Table13[[Product Name]:[Category]],5,0)</f>
        <v>15</v>
      </c>
      <c r="F13" t="str">
        <f>VLOOKUP($A13,Table13[[Product Name]:[Category]],6,0)</f>
        <v>Fashion</v>
      </c>
    </row>
    <row r="14" spans="1:6" x14ac:dyDescent="0.3">
      <c r="A14" s="2" t="s">
        <v>18</v>
      </c>
      <c r="B14" t="str">
        <f>VLOOKUP($A14,Table13[[Product Name]:[Category]],2,0)</f>
        <v>Keurig</v>
      </c>
      <c r="C14">
        <f>VLOOKUP($A14,Table13[[Product Name]:[Category]],3,0)</f>
        <v>130</v>
      </c>
      <c r="D14" t="str">
        <f>VLOOKUP($A14,Table13[[Product Name]:[Category]],4,0)</f>
        <v>Standard Price</v>
      </c>
      <c r="E14">
        <f>VLOOKUP($A14,Table13[[Product Name]:[Category]],5,0)</f>
        <v>40</v>
      </c>
      <c r="F14" t="str">
        <f>VLOOKUP($A14,Table13[[Product Name]:[Category]],6,0)</f>
        <v>Kitchen</v>
      </c>
    </row>
    <row r="15" spans="1:6" x14ac:dyDescent="0.3">
      <c r="A15" s="6" t="s">
        <v>49</v>
      </c>
      <c r="B15" t="str">
        <f>VLOOKUP($A15,Table13[[Product Name]:[Category]],2,0)</f>
        <v>Fitbit</v>
      </c>
      <c r="C15">
        <f>VLOOKUP($A15,Table13[[Product Name]:[Category]],3,0)</f>
        <v>150</v>
      </c>
      <c r="D15" t="str">
        <f>VLOOKUP($A15,Table13[[Product Name]:[Category]],4,0)</f>
        <v>Standard Price</v>
      </c>
      <c r="E15">
        <f>VLOOKUP($A15,Table13[[Product Name]:[Category]],5,0)</f>
        <v>15</v>
      </c>
      <c r="F15" t="str">
        <f>VLOOKUP($A15,Table13[[Product Name]:[Category]],6,0)</f>
        <v>Electronics</v>
      </c>
    </row>
    <row r="16" spans="1:6" x14ac:dyDescent="0.3">
      <c r="A16" s="2" t="s">
        <v>29</v>
      </c>
      <c r="B16" t="str">
        <f>VLOOKUP($A16,Table13[[Product Name]:[Category]],2,0)</f>
        <v>Sony</v>
      </c>
      <c r="C16">
        <f>VLOOKUP($A16,Table13[[Product Name]:[Category]],3,0)</f>
        <v>200</v>
      </c>
      <c r="D16" t="str">
        <f>VLOOKUP($A16,Table13[[Product Name]:[Category]],4,0)</f>
        <v>Standard Price</v>
      </c>
      <c r="E16">
        <f>VLOOKUP($A16,Table13[[Product Name]:[Category]],5,0)</f>
        <v>45</v>
      </c>
      <c r="F16" t="str">
        <f>VLOOKUP($A16,Table13[[Product Name]:[Category]],6,0)</f>
        <v>Electronics</v>
      </c>
    </row>
    <row r="17" spans="1:6" x14ac:dyDescent="0.3">
      <c r="A17" s="6" t="s">
        <v>54</v>
      </c>
      <c r="B17" t="str">
        <f>VLOOKUP($A17,Table13[[Product Name]:[Category]],2,0)</f>
        <v>Samsonite</v>
      </c>
      <c r="C17">
        <f>VLOOKUP($A17,Table13[[Product Name]:[Category]],3,0)</f>
        <v>50</v>
      </c>
      <c r="D17" t="str">
        <f>VLOOKUP($A17,Table13[[Product Name]:[Category]],4,0)</f>
        <v>Standard Price</v>
      </c>
      <c r="E17">
        <f>VLOOKUP($A17,Table13[[Product Name]:[Category]],5,0)</f>
        <v>35</v>
      </c>
      <c r="F17" t="str">
        <f>VLOOKUP($A17,Table13[[Product Name]:[Category]],6,0)</f>
        <v>Accessories</v>
      </c>
    </row>
    <row r="18" spans="1:6" x14ac:dyDescent="0.3">
      <c r="A18" s="2" t="s">
        <v>49</v>
      </c>
      <c r="B18" t="str">
        <f>VLOOKUP($A18,Table13[[Product Name]:[Category]],2,0)</f>
        <v>Fitbit</v>
      </c>
      <c r="C18">
        <f>VLOOKUP($A18,Table13[[Product Name]:[Category]],3,0)</f>
        <v>150</v>
      </c>
      <c r="D18" t="str">
        <f>VLOOKUP($A18,Table13[[Product Name]:[Category]],4,0)</f>
        <v>Standard Price</v>
      </c>
      <c r="E18">
        <f>VLOOKUP($A18,Table13[[Product Name]:[Category]],5,0)</f>
        <v>15</v>
      </c>
      <c r="F18" t="str">
        <f>VLOOKUP($A18,Table13[[Product Name]:[Category]],6,0)</f>
        <v>Electronics</v>
      </c>
    </row>
    <row r="19" spans="1:6" x14ac:dyDescent="0.3">
      <c r="A19" s="6" t="s">
        <v>8</v>
      </c>
      <c r="B19" t="str">
        <f>VLOOKUP($A19,Table13[[Product Name]:[Category]],2,0)</f>
        <v>Dell</v>
      </c>
      <c r="C19">
        <f>VLOOKUP($A19,Table13[[Product Name]:[Category]],3,0)</f>
        <v>1000</v>
      </c>
      <c r="D19" t="str">
        <f>VLOOKUP($A19,Table13[[Product Name]:[Category]],4,0)</f>
        <v>High Price</v>
      </c>
      <c r="E19">
        <f>VLOOKUP($A19,Table13[[Product Name]:[Category]],5,0)</f>
        <v>30</v>
      </c>
      <c r="F19" t="str">
        <f>VLOOKUP($A19,Table13[[Product Name]:[Category]],6,0)</f>
        <v>Electronics</v>
      </c>
    </row>
    <row r="20" spans="1:6" x14ac:dyDescent="0.3">
      <c r="A20" s="2" t="s">
        <v>62</v>
      </c>
      <c r="B20" t="str">
        <f>VLOOKUP($A20,Table13[[Product Name]:[Category]],2,0)</f>
        <v>Oakley</v>
      </c>
      <c r="C20">
        <f>VLOOKUP($A20,Table13[[Product Name]:[Category]],3,0)</f>
        <v>150</v>
      </c>
      <c r="D20" t="str">
        <f>VLOOKUP($A20,Table13[[Product Name]:[Category]],4,0)</f>
        <v>Standard Price</v>
      </c>
      <c r="E20">
        <f>VLOOKUP($A20,Table13[[Product Name]:[Category]],5,0)</f>
        <v>15</v>
      </c>
      <c r="F20" t="str">
        <f>VLOOKUP($A20,Table13[[Product Name]:[Category]],6,0)</f>
        <v>Fashion</v>
      </c>
    </row>
    <row r="21" spans="1:6" x14ac:dyDescent="0.3">
      <c r="A21" s="6" t="s">
        <v>65</v>
      </c>
      <c r="B21" t="str">
        <f>VLOOKUP($A21,Table13[[Product Name]:[Category]],2,0)</f>
        <v>Coleman</v>
      </c>
      <c r="C21">
        <f>VLOOKUP($A21,Table13[[Product Name]:[Category]],3,0)</f>
        <v>200</v>
      </c>
      <c r="D21" t="str">
        <f>VLOOKUP($A21,Table13[[Product Name]:[Category]],4,0)</f>
        <v>Standard Price</v>
      </c>
      <c r="E21">
        <f>VLOOKUP($A21,Table13[[Product Name]:[Category]],5,0)</f>
        <v>10</v>
      </c>
      <c r="F21" t="str">
        <f>VLOOKUP($A21,Table13[[Product Name]:[Category]],6,0)</f>
        <v>Outdoor</v>
      </c>
    </row>
    <row r="22" spans="1:6" x14ac:dyDescent="0.3">
      <c r="A22" s="2" t="s">
        <v>68</v>
      </c>
      <c r="B22" t="str">
        <f>VLOOKUP($A22,Table13[[Product Name]:[Category]],2,0)</f>
        <v>Nikon</v>
      </c>
      <c r="C22">
        <f>VLOOKUP($A22,Table13[[Product Name]:[Category]],3,0)</f>
        <v>700</v>
      </c>
      <c r="D22" t="str">
        <f>VLOOKUP($A22,Table13[[Product Name]:[Category]],4,0)</f>
        <v>High Price</v>
      </c>
      <c r="E22">
        <f>VLOOKUP($A22,Table13[[Product Name]:[Category]],5,0)</f>
        <v>50</v>
      </c>
      <c r="F22" t="str">
        <f>VLOOKUP($A22,Table13[[Product Name]:[Category]],6,0)</f>
        <v>Electronics</v>
      </c>
    </row>
    <row r="23" spans="1:6" x14ac:dyDescent="0.3">
      <c r="A23" s="6" t="s">
        <v>71</v>
      </c>
      <c r="B23" t="str">
        <f>VLOOKUP($A23,Table13[[Product Name]:[Category]],2,0)</f>
        <v>Panasonic</v>
      </c>
      <c r="C23">
        <f>VLOOKUP($A23,Table13[[Product Name]:[Category]],3,0)</f>
        <v>80</v>
      </c>
      <c r="D23" t="str">
        <f>VLOOKUP($A23,Table13[[Product Name]:[Category]],4,0)</f>
        <v>Standard Price</v>
      </c>
      <c r="E23">
        <f>VLOOKUP($A23,Table13[[Product Name]:[Category]],5,0)</f>
        <v>20</v>
      </c>
      <c r="F23" t="str">
        <f>VLOOKUP($A23,Table13[[Product Name]:[Category]],6,0)</f>
        <v>Kitchen</v>
      </c>
    </row>
    <row r="24" spans="1:6" x14ac:dyDescent="0.3">
      <c r="A24" s="2" t="s">
        <v>74</v>
      </c>
      <c r="B24" t="str">
        <f>VLOOKUP($A24,Table13[[Product Name]:[Category]],2,0)</f>
        <v>Xiaomi</v>
      </c>
      <c r="C24">
        <f>VLOOKUP($A24,Table13[[Product Name]:[Category]],3,0)</f>
        <v>150</v>
      </c>
      <c r="D24" t="str">
        <f>VLOOKUP($A24,Table13[[Product Name]:[Category]],4,0)</f>
        <v>Standard Price</v>
      </c>
      <c r="E24">
        <f>VLOOKUP($A24,Table13[[Product Name]:[Category]],5,0)</f>
        <v>30</v>
      </c>
      <c r="F24" t="str">
        <f>VLOOKUP($A24,Table13[[Product Name]:[Category]],6,0)</f>
        <v>Electronics</v>
      </c>
    </row>
    <row r="25" spans="1:6" x14ac:dyDescent="0.3">
      <c r="A25" s="6" t="s">
        <v>54</v>
      </c>
      <c r="B25" t="str">
        <f>VLOOKUP($A25,Table13[[Product Name]:[Category]],2,0)</f>
        <v>Samsonite</v>
      </c>
      <c r="C25">
        <f>VLOOKUP($A25,Table13[[Product Name]:[Category]],3,0)</f>
        <v>50</v>
      </c>
      <c r="D25" t="str">
        <f>VLOOKUP($A25,Table13[[Product Name]:[Category]],4,0)</f>
        <v>Standard Price</v>
      </c>
      <c r="E25">
        <f>VLOOKUP($A25,Table13[[Product Name]:[Category]],5,0)</f>
        <v>35</v>
      </c>
      <c r="F25" t="str">
        <f>VLOOKUP($A25,Table13[[Product Name]:[Category]],6,0)</f>
        <v>Accessories</v>
      </c>
    </row>
    <row r="26" spans="1:6" x14ac:dyDescent="0.3">
      <c r="A26" s="2" t="s">
        <v>22</v>
      </c>
      <c r="B26" t="str">
        <f>VLOOKUP($A26,Table13[[Product Name]:[Category]],2,0)</f>
        <v>Samsung</v>
      </c>
      <c r="C26">
        <f>VLOOKUP($A26,Table13[[Product Name]:[Category]],3,0)</f>
        <v>900</v>
      </c>
      <c r="D26" t="str">
        <f>VLOOKUP($A26,Table13[[Product Name]:[Category]],4,0)</f>
        <v>High Price</v>
      </c>
      <c r="E26">
        <f>VLOOKUP($A26,Table13[[Product Name]:[Category]],5,0)</f>
        <v>25</v>
      </c>
      <c r="F26" t="str">
        <f>VLOOKUP($A26,Table13[[Product Name]:[Category]],6,0)</f>
        <v>Electronics</v>
      </c>
    </row>
    <row r="27" spans="1:6" x14ac:dyDescent="0.3">
      <c r="A27" s="6" t="s">
        <v>62</v>
      </c>
      <c r="B27" t="str">
        <f>VLOOKUP($A27,Table13[[Product Name]:[Category]],2,0)</f>
        <v>Oakley</v>
      </c>
      <c r="C27">
        <f>VLOOKUP($A27,Table13[[Product Name]:[Category]],3,0)</f>
        <v>150</v>
      </c>
      <c r="D27" t="str">
        <f>VLOOKUP($A27,Table13[[Product Name]:[Category]],4,0)</f>
        <v>Standard Price</v>
      </c>
      <c r="E27">
        <f>VLOOKUP($A27,Table13[[Product Name]:[Category]],5,0)</f>
        <v>15</v>
      </c>
      <c r="F27" t="str">
        <f>VLOOKUP($A27,Table13[[Product Name]:[Category]],6,0)</f>
        <v>Fashion</v>
      </c>
    </row>
    <row r="28" spans="1:6" x14ac:dyDescent="0.3">
      <c r="A28" s="2" t="s">
        <v>35</v>
      </c>
      <c r="B28" t="str">
        <f>VLOOKUP($A28,Table13[[Product Name]:[Category]],2,0)</f>
        <v>Ninja</v>
      </c>
      <c r="C28">
        <f>VLOOKUP($A28,Table13[[Product Name]:[Category]],3,0)</f>
        <v>90</v>
      </c>
      <c r="D28" t="str">
        <f>VLOOKUP($A28,Table13[[Product Name]:[Category]],4,0)</f>
        <v>Standard Price</v>
      </c>
      <c r="E28">
        <f>VLOOKUP($A28,Table13[[Product Name]:[Category]],5,0)</f>
        <v>35</v>
      </c>
      <c r="F28" t="str">
        <f>VLOOKUP($A28,Table13[[Product Name]:[Category]],6,0)</f>
        <v>Kitchen</v>
      </c>
    </row>
    <row r="29" spans="1:6" x14ac:dyDescent="0.3">
      <c r="A29" s="6" t="s">
        <v>29</v>
      </c>
      <c r="B29" t="str">
        <f>VLOOKUP($A29,Table13[[Product Name]:[Category]],2,0)</f>
        <v>Sony</v>
      </c>
      <c r="C29">
        <f>VLOOKUP($A29,Table13[[Product Name]:[Category]],3,0)</f>
        <v>200</v>
      </c>
      <c r="D29" t="str">
        <f>VLOOKUP($A29,Table13[[Product Name]:[Category]],4,0)</f>
        <v>Standard Price</v>
      </c>
      <c r="E29">
        <f>VLOOKUP($A29,Table13[[Product Name]:[Category]],5,0)</f>
        <v>45</v>
      </c>
      <c r="F29" t="str">
        <f>VLOOKUP($A29,Table13[[Product Name]:[Category]],6,0)</f>
        <v>Electronics</v>
      </c>
    </row>
    <row r="30" spans="1:6" x14ac:dyDescent="0.3">
      <c r="A30" s="2" t="s">
        <v>83</v>
      </c>
      <c r="B30" t="str">
        <f>VLOOKUP($A30,Table13[[Product Name]:[Category]],2,0)</f>
        <v>Zara</v>
      </c>
      <c r="C30">
        <f>VLOOKUP($A30,Table13[[Product Name]:[Category]],3,0)</f>
        <v>60</v>
      </c>
      <c r="D30" t="str">
        <f>VLOOKUP($A30,Table13[[Product Name]:[Category]],4,0)</f>
        <v>Standard Price</v>
      </c>
      <c r="E30">
        <f>VLOOKUP($A30,Table13[[Product Name]:[Category]],5,0)</f>
        <v>30</v>
      </c>
      <c r="F30" t="str">
        <f>VLOOKUP($A30,Table13[[Product Name]:[Category]],6,0)</f>
        <v>Fashion</v>
      </c>
    </row>
    <row r="31" spans="1:6" x14ac:dyDescent="0.3">
      <c r="A31" s="6" t="s">
        <v>86</v>
      </c>
      <c r="B31" t="str">
        <f>VLOOKUP($A31,Table13[[Product Name]:[Category]],2,0)</f>
        <v>Hamilton</v>
      </c>
      <c r="C31">
        <f>VLOOKUP($A31,Table13[[Product Name]:[Category]],3,0)</f>
        <v>40</v>
      </c>
      <c r="D31" t="str">
        <f>VLOOKUP($A31,Table13[[Product Name]:[Category]],4,0)</f>
        <v>Standard Price</v>
      </c>
      <c r="E31">
        <f>VLOOKUP($A31,Table13[[Product Name]:[Category]],5,0)</f>
        <v>10</v>
      </c>
      <c r="F31" t="str">
        <f>VLOOKUP($A31,Table13[[Product Name]:[Category]],6,0)</f>
        <v>Kitchen</v>
      </c>
    </row>
    <row r="32" spans="1:6" x14ac:dyDescent="0.3">
      <c r="A32" s="2" t="s">
        <v>74</v>
      </c>
      <c r="B32" t="str">
        <f>VLOOKUP($A32,Table13[[Product Name]:[Category]],2,0)</f>
        <v>Xiaomi</v>
      </c>
      <c r="C32">
        <f>VLOOKUP($A32,Table13[[Product Name]:[Category]],3,0)</f>
        <v>150</v>
      </c>
      <c r="D32" t="str">
        <f>VLOOKUP($A32,Table13[[Product Name]:[Category]],4,0)</f>
        <v>Standard Price</v>
      </c>
      <c r="E32">
        <f>VLOOKUP($A32,Table13[[Product Name]:[Category]],5,0)</f>
        <v>30</v>
      </c>
      <c r="F32" t="str">
        <f>VLOOKUP($A32,Table13[[Product Name]:[Category]],6,0)</f>
        <v>Electronics</v>
      </c>
    </row>
    <row r="33" spans="1:6" x14ac:dyDescent="0.3">
      <c r="A33" s="6" t="s">
        <v>91</v>
      </c>
      <c r="B33" t="str">
        <f>VLOOKUP($A33,Table13[[Product Name]:[Category]],2,0)</f>
        <v>Levi's</v>
      </c>
      <c r="C33">
        <f>VLOOKUP($A33,Table13[[Product Name]:[Category]],3,0)</f>
        <v>50</v>
      </c>
      <c r="D33" t="str">
        <f>VLOOKUP($A33,Table13[[Product Name]:[Category]],4,0)</f>
        <v>Standard Price</v>
      </c>
      <c r="E33">
        <f>VLOOKUP($A33,Table13[[Product Name]:[Category]],5,0)</f>
        <v>50</v>
      </c>
      <c r="F33" t="str">
        <f>VLOOKUP($A33,Table13[[Product Name]:[Category]],6,0)</f>
        <v>Fashion</v>
      </c>
    </row>
    <row r="34" spans="1:6" x14ac:dyDescent="0.3">
      <c r="A34" s="2" t="s">
        <v>8</v>
      </c>
      <c r="B34" t="str">
        <f>VLOOKUP($A34,Table13[[Product Name]:[Category]],2,0)</f>
        <v>Dell</v>
      </c>
      <c r="C34">
        <f>VLOOKUP($A34,Table13[[Product Name]:[Category]],3,0)</f>
        <v>1000</v>
      </c>
      <c r="D34" t="str">
        <f>VLOOKUP($A34,Table13[[Product Name]:[Category]],4,0)</f>
        <v>High Price</v>
      </c>
      <c r="E34">
        <f>VLOOKUP($A34,Table13[[Product Name]:[Category]],5,0)</f>
        <v>30</v>
      </c>
      <c r="F34" t="str">
        <f>VLOOKUP($A34,Table13[[Product Name]:[Category]],6,0)</f>
        <v>Electronics</v>
      </c>
    </row>
    <row r="35" spans="1:6" x14ac:dyDescent="0.3">
      <c r="A35" s="18" t="s">
        <v>94</v>
      </c>
      <c r="B35" t="str">
        <f>VLOOKUP($A35,Table13[[Product Name]:[Category]],2,0)</f>
        <v>Casio</v>
      </c>
      <c r="C35">
        <f>VLOOKUP($A35,Table13[[Product Name]:[Category]],3,0)</f>
        <v>100</v>
      </c>
      <c r="D35" t="str">
        <f>VLOOKUP($A35,Table13[[Product Name]:[Category]],4,0)</f>
        <v>Standard Price</v>
      </c>
      <c r="E35">
        <f>VLOOKUP($A35,Table13[[Product Name]:[Category]],5,0)</f>
        <v>20</v>
      </c>
      <c r="F35" t="str">
        <f>VLOOKUP($A35,Table13[[Product Name]:[Category]],6,0)</f>
        <v>Accessories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8B37-F60F-4CC4-A7AF-B469F8CC2850}">
  <dimension ref="F5:P7"/>
  <sheetViews>
    <sheetView workbookViewId="0">
      <selection activeCell="F5" sqref="F5"/>
    </sheetView>
  </sheetViews>
  <sheetFormatPr defaultRowHeight="14.4" x14ac:dyDescent="0.3"/>
  <cols>
    <col min="6" max="6" width="29.44140625" customWidth="1"/>
  </cols>
  <sheetData>
    <row r="5" spans="6:16" ht="58.8" customHeight="1" x14ac:dyDescent="0.3">
      <c r="F5" s="22" t="s">
        <v>97</v>
      </c>
      <c r="P5" s="19"/>
    </row>
    <row r="6" spans="6:16" ht="62.4" x14ac:dyDescent="0.3">
      <c r="F6" s="21" t="s">
        <v>98</v>
      </c>
    </row>
    <row r="7" spans="6:16" ht="17.399999999999999" x14ac:dyDescent="0.3">
      <c r="F7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valli</dc:creator>
  <cp:lastModifiedBy>Mohana valli</cp:lastModifiedBy>
  <dcterms:created xsi:type="dcterms:W3CDTF">2025-11-20T08:46:56Z</dcterms:created>
  <dcterms:modified xsi:type="dcterms:W3CDTF">2025-11-20T12:59:53Z</dcterms:modified>
</cp:coreProperties>
</file>