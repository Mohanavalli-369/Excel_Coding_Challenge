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62D7266-CDEA-4778-B8AA-624F162F7D72}" xr6:coauthVersionLast="47" xr6:coauthVersionMax="47" xr10:uidLastSave="{00000000-0000-0000-0000-000000000000}"/>
  <bookViews>
    <workbookView xWindow="-108" yWindow="-108" windowWidth="23256" windowHeight="12456" activeTab="1" xr2:uid="{E8E33C04-7414-439E-8311-80290F07E3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18" i="1"/>
  <c r="E22" i="1"/>
  <c r="E34" i="1"/>
  <c r="E38" i="1"/>
  <c r="E50" i="1"/>
  <c r="D3" i="1"/>
  <c r="E3" i="1" s="1"/>
  <c r="D4" i="1"/>
  <c r="E4" i="1" s="1"/>
  <c r="D5" i="1"/>
  <c r="E5" i="1" s="1"/>
  <c r="D6" i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D19" i="1"/>
  <c r="E19" i="1" s="1"/>
  <c r="D20" i="1"/>
  <c r="E20" i="1" s="1"/>
  <c r="D21" i="1"/>
  <c r="E21" i="1" s="1"/>
  <c r="D22" i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D35" i="1"/>
  <c r="E35" i="1" s="1"/>
  <c r="D36" i="1"/>
  <c r="E36" i="1" s="1"/>
  <c r="D37" i="1"/>
  <c r="E37" i="1" s="1"/>
  <c r="D38" i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D2" i="1"/>
  <c r="E2" i="1" s="1"/>
  <c r="I5" i="1"/>
  <c r="J8" i="1"/>
  <c r="J2" i="1"/>
  <c r="J3" i="1"/>
  <c r="J4" i="1"/>
  <c r="J5" i="1"/>
  <c r="J6" i="1"/>
  <c r="J7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I3" i="1"/>
  <c r="I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2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39" i="1"/>
  <c r="B40" i="1"/>
  <c r="B41" i="1"/>
  <c r="B42" i="1"/>
  <c r="B43" i="1"/>
  <c r="B44" i="1"/>
  <c r="B45" i="1"/>
  <c r="B46" i="1"/>
  <c r="B47" i="1"/>
  <c r="B48" i="1"/>
  <c r="B49" i="1"/>
  <c r="B50" i="1"/>
</calcChain>
</file>

<file path=xl/sharedStrings.xml><?xml version="1.0" encoding="utf-8"?>
<sst xmlns="http://schemas.openxmlformats.org/spreadsheetml/2006/main" count="311" uniqueCount="230">
  <si>
    <t>TYPE</t>
  </si>
  <si>
    <t>PRICE</t>
  </si>
  <si>
    <t>Available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</si>
  <si>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</si>
  <si>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</si>
  <si>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</si>
  <si>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</si>
  <si>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</si>
  <si>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</si>
  <si>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</si>
  <si>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</si>
  <si>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</si>
  <si>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</si>
  <si>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</si>
  <si>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</si>
  <si>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</si>
  <si>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</si>
  <si>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</si>
  <si>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</si>
  <si>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</si>
  <si>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</si>
  <si>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</si>
  <si>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</si>
  <si>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</si>
  <si>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</si>
  <si>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</si>
  <si>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</si>
  <si>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</si>
  <si>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</si>
  <si>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</si>
  <si>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</si>
  <si>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</si>
  <si>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</si>
  <si>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</si>
  <si>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</si>
  <si>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</si>
  <si>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</si>
  <si>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</si>
  <si>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</si>
  <si>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</si>
  <si>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</si>
  <si>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</si>
  <si>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</si>
  <si>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</si>
  <si>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</si>
  <si>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</si>
  <si>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</si>
  <si>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</si>
  <si>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</si>
  <si>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</si>
  <si>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</si>
  <si>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</si>
  <si>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</si>
  <si>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</si>
  <si>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</si>
  <si>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</si>
  <si>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</si>
  <si>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</si>
  <si>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</si>
  <si>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</si>
  <si>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</si>
  <si>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</si>
  <si>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</si>
  <si>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</si>
  <si>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</si>
  <si>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</si>
  <si>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</si>
  <si>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</si>
  <si>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</si>
  <si>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</si>
  <si>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</si>
  <si>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</si>
  <si>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</si>
  <si>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</si>
  <si>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</si>
  <si>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</si>
  <si>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</si>
  <si>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</si>
  <si>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</si>
  <si>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</si>
  <si>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</si>
  <si>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</si>
  <si>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</si>
  <si>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</si>
  <si>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</si>
  <si>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</si>
  <si>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</si>
  <si>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</si>
  <si>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</si>
  <si>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</si>
  <si>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</si>
  <si>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</si>
  <si>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</si>
  <si>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</si>
  <si>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</si>
  <si>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</si>
  <si>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</si>
  <si>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</si>
  <si>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</si>
  <si>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</si>
  <si>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</si>
  <si>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</si>
  <si>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</si>
  <si>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</si>
  <si>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</si>
  <si>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</si>
  <si>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</si>
  <si>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</si>
  <si>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</si>
  <si>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</si>
  <si>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</si>
  <si>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</si>
  <si>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</si>
  <si>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</si>
  <si>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</si>
  <si>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</si>
  <si>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</si>
  <si>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</si>
  <si>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</si>
  <si>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</si>
  <si>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</si>
  <si>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</si>
  <si>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</si>
  <si>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</si>
  <si>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</si>
  <si>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</si>
  <si>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</si>
  <si>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</si>
  <si>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</si>
  <si>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</si>
  <si>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</si>
  <si>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</si>
  <si>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</si>
  <si>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</si>
  <si>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</si>
  <si>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</si>
  <si>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</si>
  <si>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</si>
  <si>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</si>
  <si>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</si>
  <si>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</si>
  <si>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</si>
  <si>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</si>
  <si>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</si>
  <si>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</si>
  <si>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</si>
  <si>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</si>
  <si>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</si>
  <si>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</si>
  <si>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</si>
  <si>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</si>
  <si>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</si>
  <si>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</si>
  <si>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</si>
  <si>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</si>
  <si>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</si>
  <si>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</si>
  <si>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</si>
  <si>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</si>
  <si>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</si>
  <si>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</si>
  <si>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</si>
  <si>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</si>
  <si>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</si>
  <si>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</si>
  <si>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</si>
  <si>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</si>
  <si>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</si>
  <si>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</si>
  <si>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</si>
  <si>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</si>
  <si>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</si>
  <si>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</si>
  <si>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</si>
  <si>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</si>
  <si>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</si>
  <si>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</si>
  <si>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</si>
  <si>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</si>
  <si>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</si>
  <si>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</si>
  <si>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</si>
  <si>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</si>
  <si>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</si>
  <si>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</si>
  <si>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</si>
  <si>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</si>
  <si>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</si>
  <si>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</si>
  <si>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</si>
  <si>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</si>
  <si>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</si>
  <si>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</si>
  <si>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</si>
  <si>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</si>
  <si>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</si>
  <si>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</si>
  <si>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</si>
  <si>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</si>
  <si>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</si>
  <si>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</si>
  <si>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</si>
  <si>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</si>
  <si>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</si>
  <si>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</si>
  <si>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</si>
  <si>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</si>
  <si>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</si>
  <si>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</si>
  <si>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</si>
  <si>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</si>
  <si>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</si>
  <si>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</si>
  <si>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</si>
  <si>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Dolce Gabbana</t>
  </si>
  <si>
    <t>PROPER condition</t>
  </si>
  <si>
    <t>RIGTH (f)</t>
  </si>
  <si>
    <t>LEFT(f)</t>
  </si>
  <si>
    <t>NAME PROPER (f)</t>
  </si>
  <si>
    <t>MID (f)</t>
  </si>
  <si>
    <t>TYPE UPPER (f)</t>
  </si>
  <si>
    <t>LOWER (f)</t>
  </si>
  <si>
    <t>LOCATION</t>
  </si>
  <si>
    <t>DATE TIME</t>
  </si>
  <si>
    <t>SOLD</t>
  </si>
  <si>
    <t>AVAILABLE/SOLD</t>
  </si>
  <si>
    <t>BRAND</t>
  </si>
  <si>
    <t>PRICE CURRENCY</t>
  </si>
  <si>
    <t>Day 5- Text Functions Practice</t>
  </si>
  <si>
    <t>i use  LEFT(), RIGHT(), MID(), UPPER(), LOWER(), PROPER() Formulas and i create a table and i clean the datas and format text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</si>
</sst>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sz val="11"/>
      <color theme="2"/>
      <name val="Calibri"/>
      <family val="2"/>
      <scheme val="minor"/>
    </font>
    <font>
      <b/>
      <sz val="12"/>
      <color theme="7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E6D22-9325-4C03-BF3B-BD2ED600CFD3}" name="Table1" displayName="Table1" ref="A1:O50" totalsRowShown="0" headerRowDxfId="3">
  <autoFilter ref="A1:O50" xr:uid="{EF6E6D22-9325-4C03-BF3B-BD2ED600CFD3}"/>
  <tableColumns count="15">
    <tableColumn id="1" xr3:uid="{4B7B33A7-3C3A-4B09-B578-C6A085E95265}" name="BRAND"/>
    <tableColumn id="10" xr3:uid="{9EE7A3F2-B3A7-44F0-BA05-C3968939B2FD}" name="NAME PROPER (f)"/>
    <tableColumn id="2" xr3:uid="{CDC19FFA-A9E6-43AD-A2E5-0FC511882C4C}" name="TYPE"/>
    <tableColumn id="16" xr3:uid="{C7C5674B-829C-421E-AF22-8629A005B834}" name="TYPE UPPER (f)">
      <calculatedColumnFormula>UPPER(C2)</calculatedColumnFormula>
    </tableColumn>
    <tableColumn id="17" xr3:uid="{734D4FDC-A88A-48F1-BC94-0BE045E2D168}" name="LOWER (f)">
      <calculatedColumnFormula>LOWER(D2)</calculatedColumnFormula>
    </tableColumn>
    <tableColumn id="3" xr3:uid="{93572E20-54FB-421D-AAB1-2B19D8A30F06}" name="PRICE" dataDxfId="2"/>
    <tableColumn id="4" xr3:uid="{4201438C-E11E-41B4-8D7D-58E1A41E628D}" name="PRICE CURRENCY"/>
    <tableColumn id="11" xr3:uid="{7F9D290C-969F-428F-9BA8-F748BA5EC7FF}" name="LEFT(f)">
      <calculatedColumnFormula>LEFT("US",2)</calculatedColumnFormula>
    </tableColumn>
    <tableColumn id="12" xr3:uid="{A9B4C79C-9A84-47DF-949C-8C4772698D37}" name="RIGTH (f)">
      <calculatedColumnFormula>RIGHT(G2,3)</calculatedColumnFormula>
    </tableColumn>
    <tableColumn id="13" xr3:uid="{20C17441-FE46-41F5-94F0-7DBE8680C80C}" name="MID (f)">
      <calculatedColumnFormula>MID(N2,8,14)</calculatedColumnFormula>
    </tableColumn>
    <tableColumn id="5" xr3:uid="{1E04EE7F-1930-4160-873D-A8650D656EC0}" name="Available" dataDxfId="1"/>
    <tableColumn id="6" xr3:uid="{4AA452BE-3FA8-49D8-B360-607133698ED2}" name="AVAILABLE/SOLD"/>
    <tableColumn id="7" xr3:uid="{CEC2B6D6-A95D-4D0D-A725-E81A1D82637C}" name="SOLD" dataDxfId="0"/>
    <tableColumn id="8" xr3:uid="{90705863-FCA8-440E-BC1A-C1363BE76717}" name="DATE TIME"/>
    <tableColumn id="9" xr3:uid="{9390913A-2AD8-4A30-9059-2E60BEC6E76A}" name="LOCATION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A6D5-6565-4146-AD66-2E556B72962E}">
  <dimension ref="A1:O52"/>
  <sheetViews>
    <sheetView zoomScale="88" workbookViewId="0"/>
  </sheetViews>
  <sheetFormatPr defaultRowHeight="14.4" x14ac:dyDescent="0.3"/>
  <cols>
    <col min="1" max="2" width="18.44140625" customWidth="1"/>
    <col min="3" max="5" width="20.88671875" customWidth="1"/>
    <col min="6" max="6" width="10.77734375" customWidth="1"/>
    <col min="7" max="7" width="18.109375" customWidth="1"/>
    <col min="8" max="8" width="12" customWidth="1"/>
    <col min="9" max="10" width="13.5546875" customWidth="1"/>
    <col min="11" max="11" width="11.33203125" customWidth="1"/>
    <col min="12" max="12" width="33.88671875" customWidth="1"/>
    <col min="13" max="13" width="11.5546875" customWidth="1"/>
    <col min="14" max="14" width="25.6640625" customWidth="1"/>
    <col min="15" max="15" width="38" customWidth="1"/>
  </cols>
  <sheetData>
    <row r="1" spans="1:15" ht="15.6" x14ac:dyDescent="0.3">
      <c r="A1" s="6" t="s">
        <v>226</v>
      </c>
      <c r="B1" s="3" t="s">
        <v>218</v>
      </c>
      <c r="C1" s="6" t="s">
        <v>0</v>
      </c>
      <c r="D1" s="3" t="s">
        <v>220</v>
      </c>
      <c r="E1" s="3" t="s">
        <v>221</v>
      </c>
      <c r="F1" s="6" t="s">
        <v>1</v>
      </c>
      <c r="G1" s="2" t="s">
        <v>227</v>
      </c>
      <c r="H1" s="3" t="s">
        <v>217</v>
      </c>
      <c r="I1" s="3" t="s">
        <v>216</v>
      </c>
      <c r="J1" s="3" t="s">
        <v>219</v>
      </c>
      <c r="K1" s="2" t="s">
        <v>2</v>
      </c>
      <c r="L1" s="6" t="s">
        <v>225</v>
      </c>
      <c r="M1" s="6" t="s">
        <v>224</v>
      </c>
      <c r="N1" s="6" t="s">
        <v>223</v>
      </c>
      <c r="O1" s="6" t="s">
        <v>222</v>
      </c>
    </row>
    <row r="2" spans="1:15" x14ac:dyDescent="0.3">
      <c r="A2" t="s">
        <v>3</v>
      </c>
      <c r="B2" t="str">
        <f>PROPER(Table1[[#This Row],[BRAND]])</f>
        <v>Dior</v>
      </c>
      <c r="C2" t="s">
        <v>4</v>
      </c>
      <c r="D2" t="str">
        <f>UPPER(C2)</f>
        <v>EAU DE PARFUM</v>
      </c>
      <c r="E2" t="str">
        <f>LOWER(D2)</f>
        <v>eau de parfum</v>
      </c>
      <c r="F2" s="5">
        <v>84.99</v>
      </c>
      <c r="G2" t="s">
        <v>5</v>
      </c>
      <c r="H2" t="str">
        <f>LEFT("US",2)</f>
        <v>US</v>
      </c>
      <c r="I2" t="str">
        <f>RIGHT(G2,3)</f>
        <v>/ea</v>
      </c>
      <c r="J2" t="str">
        <f t="shared" ref="J2:J33" si="0">MID(N2,8,14)</f>
        <v xml:space="preserve"> 2024 10:03:04</v>
      </c>
      <c r="K2" s="7">
        <v>10</v>
      </c>
      <c r="L2" t="s">
        <v>6</v>
      </c>
      <c r="M2" s="7">
        <v>116</v>
      </c>
      <c r="N2" t="s">
        <v>7</v>
      </c>
      <c r="O2" t="s">
        <v>8</v>
      </c>
    </row>
    <row r="3" spans="1:15" x14ac:dyDescent="0.3">
      <c r="A3" t="s">
        <v>9</v>
      </c>
      <c r="B3" t="str">
        <f>PROPER(Table1[[#This Row],[BRAND]])</f>
        <v>As Show</v>
      </c>
      <c r="C3" t="s">
        <v>4</v>
      </c>
      <c r="D3" t="str">
        <f t="shared" ref="D3:D50" si="1">UPPER(C3)</f>
        <v>EAU DE PARFUM</v>
      </c>
      <c r="E3" t="str">
        <f t="shared" ref="E3:E50" si="2">LOWER(D3)</f>
        <v>eau de parfum</v>
      </c>
      <c r="F3" s="5">
        <v>109.99</v>
      </c>
      <c r="G3" t="s">
        <v>10</v>
      </c>
      <c r="H3" t="str">
        <f t="shared" ref="H3:H50" si="3">LEFT("US",2)</f>
        <v>US</v>
      </c>
      <c r="I3" t="str">
        <f t="shared" ref="I3:I50" si="4">RIGHT(G3,3)</f>
        <v>.99</v>
      </c>
      <c r="J3" t="str">
        <f t="shared" si="0"/>
        <v xml:space="preserve"> 2024 23:07:49</v>
      </c>
      <c r="K3" s="7">
        <v>8</v>
      </c>
      <c r="L3" t="s">
        <v>11</v>
      </c>
      <c r="M3" s="7">
        <v>48</v>
      </c>
      <c r="N3" t="s">
        <v>12</v>
      </c>
      <c r="O3" t="s">
        <v>13</v>
      </c>
    </row>
    <row r="4" spans="1:15" x14ac:dyDescent="0.3">
      <c r="A4" t="s">
        <v>14</v>
      </c>
      <c r="B4" t="str">
        <f>PROPER(Table1[[#This Row],[BRAND]])</f>
        <v>Unbranded</v>
      </c>
      <c r="C4" t="s">
        <v>15</v>
      </c>
      <c r="D4" t="str">
        <f t="shared" si="1"/>
        <v>EAU DE TOILETTE</v>
      </c>
      <c r="E4" t="str">
        <f t="shared" si="2"/>
        <v>eau de toilette</v>
      </c>
      <c r="F4" s="5">
        <v>100</v>
      </c>
      <c r="G4" t="s">
        <v>16</v>
      </c>
      <c r="H4" t="str">
        <f t="shared" si="3"/>
        <v>US</v>
      </c>
      <c r="I4" t="str">
        <f t="shared" si="4"/>
        <v>.00</v>
      </c>
      <c r="J4" t="str">
        <f t="shared" si="0"/>
        <v xml:space="preserve"> 2024 21:55:43</v>
      </c>
      <c r="K4" s="7">
        <v>10</v>
      </c>
      <c r="L4" t="s">
        <v>17</v>
      </c>
      <c r="M4" s="7">
        <v>27</v>
      </c>
      <c r="N4" t="s">
        <v>18</v>
      </c>
      <c r="O4" t="s">
        <v>19</v>
      </c>
    </row>
    <row r="5" spans="1:15" x14ac:dyDescent="0.3">
      <c r="A5" t="s">
        <v>20</v>
      </c>
      <c r="B5" t="str">
        <f>PROPER(Table1[[#This Row],[BRAND]])</f>
        <v>Giorgio Armani</v>
      </c>
      <c r="C5" t="s">
        <v>15</v>
      </c>
      <c r="D5" t="str">
        <f t="shared" si="1"/>
        <v>EAU DE TOILETTE</v>
      </c>
      <c r="E5" t="str">
        <f t="shared" si="2"/>
        <v>eau de toilette</v>
      </c>
      <c r="F5" s="5">
        <v>44.99</v>
      </c>
      <c r="G5" t="s">
        <v>21</v>
      </c>
      <c r="H5" t="str">
        <f t="shared" si="3"/>
        <v>US</v>
      </c>
      <c r="I5" t="str">
        <f>RIGHT(G5,3)</f>
        <v>/ea</v>
      </c>
      <c r="J5" t="str">
        <f t="shared" si="0"/>
        <v xml:space="preserve"> 2024 03:30:43</v>
      </c>
      <c r="K5" s="7">
        <v>2</v>
      </c>
      <c r="L5" t="s">
        <v>22</v>
      </c>
      <c r="M5" s="7">
        <v>159</v>
      </c>
      <c r="N5" t="s">
        <v>23</v>
      </c>
      <c r="O5" t="s">
        <v>24</v>
      </c>
    </row>
    <row r="6" spans="1:15" x14ac:dyDescent="0.3">
      <c r="A6" t="s">
        <v>25</v>
      </c>
      <c r="B6" t="str">
        <f>PROPER(Table1[[#This Row],[BRAND]])</f>
        <v>Lattafa</v>
      </c>
      <c r="C6" t="s">
        <v>26</v>
      </c>
      <c r="D6" t="str">
        <f t="shared" si="1"/>
        <v>FRAGRANCES</v>
      </c>
      <c r="E6" t="str">
        <f t="shared" si="2"/>
        <v>fragrances</v>
      </c>
      <c r="F6" s="5">
        <v>16.91</v>
      </c>
      <c r="G6" t="s">
        <v>27</v>
      </c>
      <c r="H6" t="str">
        <f t="shared" si="3"/>
        <v>US</v>
      </c>
      <c r="I6" t="str">
        <f t="shared" si="4"/>
        <v>.91</v>
      </c>
      <c r="J6" t="str">
        <f t="shared" si="0"/>
        <v xml:space="preserve"> 2024 07:56:25</v>
      </c>
      <c r="K6" s="7"/>
      <c r="L6" t="s">
        <v>28</v>
      </c>
      <c r="M6" s="7">
        <v>156</v>
      </c>
      <c r="N6" t="s">
        <v>29</v>
      </c>
      <c r="O6" t="s">
        <v>30</v>
      </c>
    </row>
    <row r="7" spans="1:15" x14ac:dyDescent="0.3">
      <c r="A7" t="s">
        <v>31</v>
      </c>
      <c r="B7" t="str">
        <f>PROPER(Table1[[#This Row],[BRAND]])</f>
        <v>Multiple Brands</v>
      </c>
      <c r="C7" t="s">
        <v>32</v>
      </c>
      <c r="D7" t="str">
        <f t="shared" si="1"/>
        <v>PERFUME</v>
      </c>
      <c r="E7" t="str">
        <f t="shared" si="2"/>
        <v>perfume</v>
      </c>
      <c r="F7" s="5">
        <v>14.99</v>
      </c>
      <c r="G7" t="s">
        <v>33</v>
      </c>
      <c r="H7" t="str">
        <f t="shared" si="3"/>
        <v>US</v>
      </c>
      <c r="I7" t="str">
        <f t="shared" si="4"/>
        <v>.99</v>
      </c>
      <c r="J7" t="str">
        <f t="shared" si="0"/>
        <v xml:space="preserve"> 2024 06:57:41</v>
      </c>
      <c r="K7" s="7">
        <v>10</v>
      </c>
      <c r="L7" t="s">
        <v>34</v>
      </c>
      <c r="M7" s="7">
        <v>79</v>
      </c>
      <c r="N7" t="s">
        <v>35</v>
      </c>
      <c r="O7" t="s">
        <v>36</v>
      </c>
    </row>
    <row r="8" spans="1:15" x14ac:dyDescent="0.3">
      <c r="A8" t="s">
        <v>37</v>
      </c>
      <c r="B8" t="str">
        <f>PROPER(Table1[[#This Row],[BRAND]])</f>
        <v>Maison Alhambra</v>
      </c>
      <c r="C8" t="s">
        <v>4</v>
      </c>
      <c r="D8" t="str">
        <f t="shared" si="1"/>
        <v>EAU DE PARFUM</v>
      </c>
      <c r="E8" t="str">
        <f t="shared" si="2"/>
        <v>eau de parfum</v>
      </c>
      <c r="F8" s="5">
        <v>30.99</v>
      </c>
      <c r="G8" t="s">
        <v>38</v>
      </c>
      <c r="H8" t="str">
        <f t="shared" si="3"/>
        <v>US</v>
      </c>
      <c r="I8" t="str">
        <f t="shared" si="4"/>
        <v>/ea</v>
      </c>
      <c r="J8" t="str">
        <f t="shared" si="0"/>
        <v xml:space="preserve"> 2024 13:42:49</v>
      </c>
      <c r="K8" s="7">
        <v>9</v>
      </c>
      <c r="L8" t="s">
        <v>39</v>
      </c>
      <c r="M8" s="7">
        <v>39</v>
      </c>
      <c r="N8" t="s">
        <v>40</v>
      </c>
      <c r="O8" t="s">
        <v>41</v>
      </c>
    </row>
    <row r="9" spans="1:15" x14ac:dyDescent="0.3">
      <c r="A9" t="s">
        <v>14</v>
      </c>
      <c r="B9" t="str">
        <f>PROPER(Table1[[#This Row],[BRAND]])</f>
        <v>Unbranded</v>
      </c>
      <c r="C9" t="s">
        <v>4</v>
      </c>
      <c r="D9" t="str">
        <f t="shared" si="1"/>
        <v>EAU DE PARFUM</v>
      </c>
      <c r="E9" t="str">
        <f t="shared" si="2"/>
        <v>eau de parfum</v>
      </c>
      <c r="F9" s="5">
        <v>85</v>
      </c>
      <c r="G9" t="s">
        <v>42</v>
      </c>
      <c r="H9" t="str">
        <f t="shared" si="3"/>
        <v>US</v>
      </c>
      <c r="I9" t="str">
        <f t="shared" si="4"/>
        <v>.00</v>
      </c>
      <c r="J9" t="str">
        <f t="shared" si="0"/>
        <v xml:space="preserve"> 2024 00:10:39</v>
      </c>
      <c r="K9" s="7"/>
      <c r="L9" t="s">
        <v>43</v>
      </c>
      <c r="M9" s="7">
        <v>6</v>
      </c>
      <c r="N9" t="s">
        <v>44</v>
      </c>
      <c r="O9" t="s">
        <v>45</v>
      </c>
    </row>
    <row r="10" spans="1:15" x14ac:dyDescent="0.3">
      <c r="A10" t="s">
        <v>14</v>
      </c>
      <c r="B10" t="str">
        <f>PROPER(Table1[[#This Row],[BRAND]])</f>
        <v>Unbranded</v>
      </c>
      <c r="C10" t="s">
        <v>46</v>
      </c>
      <c r="D10" t="str">
        <f t="shared" si="1"/>
        <v>/</v>
      </c>
      <c r="E10" t="str">
        <f t="shared" si="2"/>
        <v>/</v>
      </c>
      <c r="F10" s="5">
        <v>15.89</v>
      </c>
      <c r="G10" t="s">
        <v>47</v>
      </c>
      <c r="H10" t="str">
        <f t="shared" si="3"/>
        <v>US</v>
      </c>
      <c r="I10" t="str">
        <f t="shared" si="4"/>
        <v>.89</v>
      </c>
      <c r="J10" t="str">
        <f t="shared" si="0"/>
        <v xml:space="preserve"> 2024 09:08:14</v>
      </c>
      <c r="K10" s="7">
        <v>10</v>
      </c>
      <c r="L10" t="s">
        <v>48</v>
      </c>
      <c r="M10" s="7">
        <v>17</v>
      </c>
      <c r="N10" t="s">
        <v>49</v>
      </c>
      <c r="O10" t="s">
        <v>50</v>
      </c>
    </row>
    <row r="11" spans="1:15" x14ac:dyDescent="0.3">
      <c r="A11" t="s">
        <v>51</v>
      </c>
      <c r="B11" t="str">
        <f>PROPER(Table1[[#This Row],[BRAND]])</f>
        <v>Gucci</v>
      </c>
      <c r="C11" t="s">
        <v>4</v>
      </c>
      <c r="D11" t="str">
        <f t="shared" si="1"/>
        <v>EAU DE PARFUM</v>
      </c>
      <c r="E11" t="str">
        <f t="shared" si="2"/>
        <v>eau de parfum</v>
      </c>
      <c r="F11" s="5">
        <v>49.99</v>
      </c>
      <c r="G11" t="s">
        <v>52</v>
      </c>
      <c r="H11" t="str">
        <f t="shared" si="3"/>
        <v>US</v>
      </c>
      <c r="I11" t="str">
        <f t="shared" si="4"/>
        <v>/ea</v>
      </c>
      <c r="J11" t="str">
        <f t="shared" si="0"/>
        <v xml:space="preserve"> 2024 07:21:23</v>
      </c>
      <c r="K11" s="7">
        <v>8</v>
      </c>
      <c r="L11" t="s">
        <v>53</v>
      </c>
      <c r="M11" s="7">
        <v>68</v>
      </c>
      <c r="N11" t="s">
        <v>54</v>
      </c>
      <c r="O11" t="s">
        <v>55</v>
      </c>
    </row>
    <row r="12" spans="1:15" x14ac:dyDescent="0.3">
      <c r="A12" t="s">
        <v>56</v>
      </c>
      <c r="B12" t="str">
        <f>PROPER(Table1[[#This Row],[BRAND]])</f>
        <v>Ralph Lauren</v>
      </c>
      <c r="C12" t="s">
        <v>15</v>
      </c>
      <c r="D12" t="str">
        <f t="shared" si="1"/>
        <v>EAU DE TOILETTE</v>
      </c>
      <c r="E12" t="str">
        <f t="shared" si="2"/>
        <v>eau de toilette</v>
      </c>
      <c r="F12" s="5">
        <v>34.99</v>
      </c>
      <c r="G12" t="s">
        <v>57</v>
      </c>
      <c r="H12" t="str">
        <f t="shared" si="3"/>
        <v>US</v>
      </c>
      <c r="I12" t="str">
        <f t="shared" si="4"/>
        <v>/ea</v>
      </c>
      <c r="J12" t="str">
        <f t="shared" si="0"/>
        <v xml:space="preserve"> 2024 07:53:23</v>
      </c>
      <c r="K12" s="7">
        <v>10</v>
      </c>
      <c r="L12" t="s">
        <v>58</v>
      </c>
      <c r="M12" s="7">
        <v>615</v>
      </c>
      <c r="N12" t="s">
        <v>59</v>
      </c>
      <c r="O12" t="s">
        <v>60</v>
      </c>
    </row>
    <row r="13" spans="1:15" x14ac:dyDescent="0.3">
      <c r="A13" t="s">
        <v>61</v>
      </c>
      <c r="B13" t="str">
        <f>PROPER(Table1[[#This Row],[BRAND]])</f>
        <v>Dolce&amp;Gabbana</v>
      </c>
      <c r="C13" t="s">
        <v>15</v>
      </c>
      <c r="D13" t="str">
        <f t="shared" si="1"/>
        <v>EAU DE TOILETTE</v>
      </c>
      <c r="E13" t="str">
        <f t="shared" si="2"/>
        <v>eau de toilette</v>
      </c>
      <c r="F13" s="5">
        <v>29.95</v>
      </c>
      <c r="G13" t="s">
        <v>62</v>
      </c>
      <c r="H13" t="str">
        <f t="shared" si="3"/>
        <v>US</v>
      </c>
      <c r="I13" t="str">
        <f t="shared" si="4"/>
        <v>/ea</v>
      </c>
      <c r="J13" t="str">
        <f t="shared" si="0"/>
        <v xml:space="preserve"> 2024 08:37:49</v>
      </c>
      <c r="K13" s="7">
        <v>7</v>
      </c>
      <c r="L13" t="s">
        <v>63</v>
      </c>
      <c r="M13" s="7">
        <v>458</v>
      </c>
      <c r="N13" t="s">
        <v>64</v>
      </c>
      <c r="O13" t="s">
        <v>65</v>
      </c>
    </row>
    <row r="14" spans="1:15" x14ac:dyDescent="0.3">
      <c r="A14" t="s">
        <v>66</v>
      </c>
      <c r="B14" t="str">
        <f>PROPER(Table1[[#This Row],[BRAND]])</f>
        <v>Secertmu</v>
      </c>
      <c r="C14" t="s">
        <v>32</v>
      </c>
      <c r="D14" t="str">
        <f t="shared" si="1"/>
        <v>PERFUME</v>
      </c>
      <c r="E14" t="str">
        <f t="shared" si="2"/>
        <v>perfume</v>
      </c>
      <c r="F14" s="5">
        <v>15.99</v>
      </c>
      <c r="G14" t="s">
        <v>67</v>
      </c>
      <c r="H14" t="str">
        <f t="shared" si="3"/>
        <v>US</v>
      </c>
      <c r="I14" t="str">
        <f t="shared" si="4"/>
        <v>.99</v>
      </c>
      <c r="J14" t="str">
        <f t="shared" si="0"/>
        <v xml:space="preserve"> 2024 19:20:12</v>
      </c>
      <c r="K14" s="7">
        <v>10</v>
      </c>
      <c r="L14" t="s">
        <v>68</v>
      </c>
      <c r="M14" s="7">
        <v>889</v>
      </c>
      <c r="N14" t="s">
        <v>69</v>
      </c>
      <c r="O14" t="s">
        <v>70</v>
      </c>
    </row>
    <row r="15" spans="1:15" x14ac:dyDescent="0.3">
      <c r="A15" t="s">
        <v>71</v>
      </c>
      <c r="B15" t="str">
        <f>PROPER(Table1[[#This Row],[BRAND]])</f>
        <v>As Show</v>
      </c>
      <c r="C15" t="s">
        <v>4</v>
      </c>
      <c r="D15" t="str">
        <f t="shared" si="1"/>
        <v>EAU DE PARFUM</v>
      </c>
      <c r="E15" t="str">
        <f t="shared" si="2"/>
        <v>eau de parfum</v>
      </c>
      <c r="F15" s="5">
        <v>59.99</v>
      </c>
      <c r="G15" t="s">
        <v>72</v>
      </c>
      <c r="H15" t="str">
        <f t="shared" si="3"/>
        <v>US</v>
      </c>
      <c r="I15" t="str">
        <f t="shared" si="4"/>
        <v>/ea</v>
      </c>
      <c r="J15" t="str">
        <f t="shared" si="0"/>
        <v xml:space="preserve"> 2024 03:08:18</v>
      </c>
      <c r="K15" s="7">
        <v>9</v>
      </c>
      <c r="L15" t="s">
        <v>73</v>
      </c>
      <c r="M15" s="7">
        <v>63</v>
      </c>
      <c r="N15" t="s">
        <v>74</v>
      </c>
      <c r="O15" t="s">
        <v>75</v>
      </c>
    </row>
    <row r="16" spans="1:15" x14ac:dyDescent="0.3">
      <c r="A16" t="s">
        <v>76</v>
      </c>
      <c r="B16" t="str">
        <f>PROPER(Table1[[#This Row],[BRAND]])</f>
        <v>Versace</v>
      </c>
      <c r="C16" t="s">
        <v>15</v>
      </c>
      <c r="D16" t="str">
        <f t="shared" si="1"/>
        <v>EAU DE TOILETTE</v>
      </c>
      <c r="E16" t="str">
        <f t="shared" si="2"/>
        <v>eau de toilette</v>
      </c>
      <c r="F16" s="5">
        <v>34.99</v>
      </c>
      <c r="G16" t="s">
        <v>57</v>
      </c>
      <c r="H16" t="str">
        <f t="shared" si="3"/>
        <v>US</v>
      </c>
      <c r="I16" t="str">
        <f t="shared" si="4"/>
        <v>/ea</v>
      </c>
      <c r="J16" t="str">
        <f t="shared" si="0"/>
        <v xml:space="preserve"> 2024 00:02:27</v>
      </c>
      <c r="K16" s="7">
        <v>7</v>
      </c>
      <c r="L16" t="s">
        <v>77</v>
      </c>
      <c r="M16" s="7">
        <v>136</v>
      </c>
      <c r="N16" t="s">
        <v>78</v>
      </c>
      <c r="O16" t="s">
        <v>65</v>
      </c>
    </row>
    <row r="17" spans="1:15" x14ac:dyDescent="0.3">
      <c r="A17" t="s">
        <v>79</v>
      </c>
      <c r="B17" t="str">
        <f>PROPER(Table1[[#This Row],[BRAND]])</f>
        <v>Paco Rabanne</v>
      </c>
      <c r="C17" t="s">
        <v>80</v>
      </c>
      <c r="D17" t="str">
        <f t="shared" si="1"/>
        <v>PARFUM</v>
      </c>
      <c r="E17" t="str">
        <f t="shared" si="2"/>
        <v>parfum</v>
      </c>
      <c r="F17" s="5">
        <v>68.989999999999995</v>
      </c>
      <c r="G17" t="s">
        <v>81</v>
      </c>
      <c r="H17" t="str">
        <f t="shared" si="3"/>
        <v>US</v>
      </c>
      <c r="I17" t="str">
        <f t="shared" si="4"/>
        <v>/ea</v>
      </c>
      <c r="J17" t="str">
        <f t="shared" si="0"/>
        <v xml:space="preserve"> 2024 02:41:49</v>
      </c>
      <c r="K17" s="7">
        <v>2</v>
      </c>
      <c r="L17" t="s">
        <v>82</v>
      </c>
      <c r="M17" s="7">
        <v>20</v>
      </c>
      <c r="N17" t="s">
        <v>83</v>
      </c>
      <c r="O17" t="s">
        <v>84</v>
      </c>
    </row>
    <row r="18" spans="1:15" x14ac:dyDescent="0.3">
      <c r="A18" t="s">
        <v>85</v>
      </c>
      <c r="B18" t="str">
        <f>PROPER(Table1[[#This Row],[BRAND]])</f>
        <v>Grandeur</v>
      </c>
      <c r="C18" t="s">
        <v>4</v>
      </c>
      <c r="D18" t="str">
        <f t="shared" si="1"/>
        <v>EAU DE PARFUM</v>
      </c>
      <c r="E18" t="str">
        <f t="shared" si="2"/>
        <v>eau de parfum</v>
      </c>
      <c r="F18" s="5">
        <v>37.99</v>
      </c>
      <c r="G18" t="s">
        <v>86</v>
      </c>
      <c r="H18" t="str">
        <f t="shared" si="3"/>
        <v>US</v>
      </c>
      <c r="I18" t="str">
        <f t="shared" si="4"/>
        <v>.99</v>
      </c>
      <c r="J18" t="str">
        <f t="shared" si="0"/>
        <v xml:space="preserve"> 2024 08:14:43</v>
      </c>
      <c r="K18" s="7">
        <v>10</v>
      </c>
      <c r="L18" t="s">
        <v>87</v>
      </c>
      <c r="M18" s="7">
        <v>44</v>
      </c>
      <c r="N18" t="s">
        <v>88</v>
      </c>
      <c r="O18" t="s">
        <v>89</v>
      </c>
    </row>
    <row r="19" spans="1:15" x14ac:dyDescent="0.3">
      <c r="A19" t="s">
        <v>90</v>
      </c>
      <c r="B19" t="str">
        <f>PROPER(Table1[[#This Row],[BRAND]])</f>
        <v>Armaf</v>
      </c>
      <c r="C19" t="s">
        <v>15</v>
      </c>
      <c r="D19" t="str">
        <f t="shared" si="1"/>
        <v>EAU DE TOILETTE</v>
      </c>
      <c r="E19" t="str">
        <f t="shared" si="2"/>
        <v>eau de toilette</v>
      </c>
      <c r="F19" s="5">
        <v>29.99</v>
      </c>
      <c r="G19" t="s">
        <v>91</v>
      </c>
      <c r="H19" t="str">
        <f t="shared" si="3"/>
        <v>US</v>
      </c>
      <c r="I19" t="str">
        <f t="shared" si="4"/>
        <v>/ea</v>
      </c>
      <c r="J19" t="str">
        <f t="shared" si="0"/>
        <v xml:space="preserve"> 2024 05:13:20</v>
      </c>
      <c r="K19" s="7">
        <v>5</v>
      </c>
      <c r="L19" t="s">
        <v>92</v>
      </c>
      <c r="M19" s="7">
        <v>384</v>
      </c>
      <c r="N19" t="s">
        <v>93</v>
      </c>
      <c r="O19" t="s">
        <v>94</v>
      </c>
    </row>
    <row r="20" spans="1:15" x14ac:dyDescent="0.3">
      <c r="A20" t="s">
        <v>95</v>
      </c>
      <c r="B20" t="str">
        <f>PROPER(Table1[[#This Row],[BRAND]])</f>
        <v>Carolina Herrera</v>
      </c>
      <c r="C20" t="s">
        <v>15</v>
      </c>
      <c r="D20" t="str">
        <f t="shared" si="1"/>
        <v>EAU DE TOILETTE</v>
      </c>
      <c r="E20" t="str">
        <f t="shared" si="2"/>
        <v>eau de toilette</v>
      </c>
      <c r="F20" s="5">
        <v>39.99</v>
      </c>
      <c r="G20" t="s">
        <v>96</v>
      </c>
      <c r="H20" t="str">
        <f t="shared" si="3"/>
        <v>US</v>
      </c>
      <c r="I20" t="str">
        <f t="shared" si="4"/>
        <v>/ea</v>
      </c>
      <c r="J20" t="str">
        <f t="shared" si="0"/>
        <v xml:space="preserve"> 2024 08:48:22</v>
      </c>
      <c r="K20" s="7">
        <v>10</v>
      </c>
      <c r="L20" t="s">
        <v>97</v>
      </c>
      <c r="M20" s="7">
        <v>236</v>
      </c>
      <c r="N20" t="s">
        <v>98</v>
      </c>
      <c r="O20" t="s">
        <v>99</v>
      </c>
    </row>
    <row r="21" spans="1:15" x14ac:dyDescent="0.3">
      <c r="A21" t="s">
        <v>3</v>
      </c>
      <c r="B21" t="str">
        <f>PROPER(Table1[[#This Row],[BRAND]])</f>
        <v>Dior</v>
      </c>
      <c r="C21" t="s">
        <v>15</v>
      </c>
      <c r="D21" t="str">
        <f t="shared" si="1"/>
        <v>EAU DE TOILETTE</v>
      </c>
      <c r="E21" t="str">
        <f t="shared" si="2"/>
        <v>eau de toilette</v>
      </c>
      <c r="F21" s="5">
        <v>83.95</v>
      </c>
      <c r="G21" t="s">
        <v>100</v>
      </c>
      <c r="H21" t="str">
        <f t="shared" si="3"/>
        <v>US</v>
      </c>
      <c r="I21" t="str">
        <f t="shared" si="4"/>
        <v>.95</v>
      </c>
      <c r="J21" t="str">
        <f t="shared" si="0"/>
        <v xml:space="preserve"> 2024 14:31:55</v>
      </c>
      <c r="K21" s="7">
        <v>4</v>
      </c>
      <c r="L21" t="s">
        <v>101</v>
      </c>
      <c r="M21" s="7">
        <v>22</v>
      </c>
      <c r="N21" t="s">
        <v>102</v>
      </c>
      <c r="O21" t="s">
        <v>103</v>
      </c>
    </row>
    <row r="22" spans="1:15" x14ac:dyDescent="0.3">
      <c r="A22" t="s">
        <v>214</v>
      </c>
      <c r="B22" t="str">
        <f>PROPER(Table1[[#This Row],[BRAND]])</f>
        <v>Dolce Gabbana</v>
      </c>
      <c r="C22" t="s">
        <v>15</v>
      </c>
      <c r="D22" t="str">
        <f t="shared" si="1"/>
        <v>EAU DE TOILETTE</v>
      </c>
      <c r="E22" t="str">
        <f t="shared" si="2"/>
        <v>eau de toilette</v>
      </c>
      <c r="F22" s="5">
        <v>29.94</v>
      </c>
      <c r="G22" t="s">
        <v>104</v>
      </c>
      <c r="H22" t="str">
        <f t="shared" si="3"/>
        <v>US</v>
      </c>
      <c r="I22" t="str">
        <f t="shared" si="4"/>
        <v>/ea</v>
      </c>
      <c r="J22" t="str">
        <f t="shared" si="0"/>
        <v xml:space="preserve"> 2024 20:04:11</v>
      </c>
      <c r="K22" s="7"/>
      <c r="L22" t="s">
        <v>105</v>
      </c>
      <c r="M22" s="7">
        <v>9208</v>
      </c>
      <c r="N22" t="s">
        <v>106</v>
      </c>
      <c r="O22" t="s">
        <v>107</v>
      </c>
    </row>
    <row r="23" spans="1:15" x14ac:dyDescent="0.3">
      <c r="A23" t="s">
        <v>108</v>
      </c>
      <c r="B23" t="str">
        <f>PROPER(Table1[[#This Row],[BRAND]])</f>
        <v>Clinique</v>
      </c>
      <c r="C23" t="s">
        <v>15</v>
      </c>
      <c r="D23" t="str">
        <f t="shared" si="1"/>
        <v>EAU DE TOILETTE</v>
      </c>
      <c r="E23" t="str">
        <f t="shared" si="2"/>
        <v>eau de toilette</v>
      </c>
      <c r="F23" s="5">
        <v>21.99</v>
      </c>
      <c r="G23" t="s">
        <v>109</v>
      </c>
      <c r="H23" t="str">
        <f t="shared" si="3"/>
        <v>US</v>
      </c>
      <c r="I23" t="str">
        <f t="shared" si="4"/>
        <v>/ea</v>
      </c>
      <c r="J23" t="str">
        <f t="shared" si="0"/>
        <v xml:space="preserve"> 2024 14:28:23</v>
      </c>
      <c r="K23" s="7">
        <v>4</v>
      </c>
      <c r="L23" t="s">
        <v>110</v>
      </c>
      <c r="M23" s="7">
        <v>86</v>
      </c>
      <c r="N23" t="s">
        <v>111</v>
      </c>
      <c r="O23" t="s">
        <v>89</v>
      </c>
    </row>
    <row r="24" spans="1:15" x14ac:dyDescent="0.3">
      <c r="A24" t="s">
        <v>112</v>
      </c>
      <c r="B24" t="str">
        <f>PROPER(Table1[[#This Row],[BRAND]])</f>
        <v>Dumont</v>
      </c>
      <c r="C24" t="s">
        <v>26</v>
      </c>
      <c r="D24" t="str">
        <f t="shared" si="1"/>
        <v>FRAGRANCES</v>
      </c>
      <c r="E24" t="str">
        <f t="shared" si="2"/>
        <v>fragrances</v>
      </c>
      <c r="F24" s="5">
        <v>49.99</v>
      </c>
      <c r="G24" t="s">
        <v>113</v>
      </c>
      <c r="H24" t="str">
        <f t="shared" si="3"/>
        <v>US</v>
      </c>
      <c r="I24" t="str">
        <f t="shared" si="4"/>
        <v>.99</v>
      </c>
      <c r="J24" t="str">
        <f t="shared" si="0"/>
        <v xml:space="preserve"> 2024 09:02:39</v>
      </c>
      <c r="K24" s="7">
        <v>3</v>
      </c>
      <c r="L24" t="s">
        <v>114</v>
      </c>
      <c r="M24" s="7">
        <v>187</v>
      </c>
      <c r="N24" t="s">
        <v>115</v>
      </c>
      <c r="O24" t="s">
        <v>30</v>
      </c>
    </row>
    <row r="25" spans="1:15" x14ac:dyDescent="0.3">
      <c r="A25" t="s">
        <v>116</v>
      </c>
      <c r="B25" t="str">
        <f>PROPER(Table1[[#This Row],[BRAND]])</f>
        <v>Afnan</v>
      </c>
      <c r="C25" t="s">
        <v>4</v>
      </c>
      <c r="D25" t="str">
        <f t="shared" si="1"/>
        <v>EAU DE PARFUM</v>
      </c>
      <c r="E25" t="str">
        <f t="shared" si="2"/>
        <v>eau de parfum</v>
      </c>
      <c r="F25" s="5">
        <v>33.700000000000003</v>
      </c>
      <c r="G25" t="s">
        <v>117</v>
      </c>
      <c r="H25" t="str">
        <f t="shared" si="3"/>
        <v>US</v>
      </c>
      <c r="I25" t="str">
        <f t="shared" si="4"/>
        <v>.70</v>
      </c>
      <c r="J25" t="str">
        <f t="shared" si="0"/>
        <v xml:space="preserve"> 2024 14:00:54</v>
      </c>
      <c r="K25" s="7">
        <v>10</v>
      </c>
      <c r="L25" t="s">
        <v>118</v>
      </c>
      <c r="M25" s="7">
        <v>131</v>
      </c>
      <c r="N25" t="s">
        <v>119</v>
      </c>
      <c r="O25" t="s">
        <v>120</v>
      </c>
    </row>
    <row r="26" spans="1:15" x14ac:dyDescent="0.3">
      <c r="A26" t="s">
        <v>76</v>
      </c>
      <c r="B26" t="str">
        <f>PROPER(Table1[[#This Row],[BRAND]])</f>
        <v>Versace</v>
      </c>
      <c r="C26" t="s">
        <v>15</v>
      </c>
      <c r="D26" t="str">
        <f t="shared" si="1"/>
        <v>EAU DE TOILETTE</v>
      </c>
      <c r="E26" t="str">
        <f t="shared" si="2"/>
        <v>eau de toilette</v>
      </c>
      <c r="F26" s="5">
        <v>35.99</v>
      </c>
      <c r="G26" t="s">
        <v>121</v>
      </c>
      <c r="H26" t="str">
        <f t="shared" si="3"/>
        <v>US</v>
      </c>
      <c r="I26" t="str">
        <f t="shared" si="4"/>
        <v>.99</v>
      </c>
      <c r="J26" t="str">
        <f t="shared" si="0"/>
        <v xml:space="preserve"> 2024 00:13:55</v>
      </c>
      <c r="K26" s="7">
        <v>2</v>
      </c>
      <c r="L26" t="s">
        <v>122</v>
      </c>
      <c r="M26" s="7">
        <v>43</v>
      </c>
      <c r="N26" t="s">
        <v>123</v>
      </c>
      <c r="O26" t="s">
        <v>124</v>
      </c>
    </row>
    <row r="27" spans="1:15" x14ac:dyDescent="0.3">
      <c r="A27" t="s">
        <v>125</v>
      </c>
      <c r="B27" t="str">
        <f>PROPER(Table1[[#This Row],[BRAND]])</f>
        <v>Azzaro</v>
      </c>
      <c r="C27" t="s">
        <v>126</v>
      </c>
      <c r="D27" t="str">
        <f t="shared" si="1"/>
        <v>PARFUM</v>
      </c>
      <c r="E27" t="str">
        <f t="shared" si="2"/>
        <v>parfum</v>
      </c>
      <c r="F27" s="5">
        <v>89.97</v>
      </c>
      <c r="G27" t="s">
        <v>127</v>
      </c>
      <c r="H27" t="str">
        <f t="shared" si="3"/>
        <v>US</v>
      </c>
      <c r="I27" t="str">
        <f t="shared" si="4"/>
        <v>/ea</v>
      </c>
      <c r="J27" t="str">
        <f t="shared" si="0"/>
        <v xml:space="preserve"> 2024 08:32:16</v>
      </c>
      <c r="K27" s="7">
        <v>10</v>
      </c>
      <c r="L27" t="s">
        <v>128</v>
      </c>
      <c r="M27" s="7">
        <v>920</v>
      </c>
      <c r="N27" t="s">
        <v>129</v>
      </c>
      <c r="O27" t="s">
        <v>130</v>
      </c>
    </row>
    <row r="28" spans="1:15" x14ac:dyDescent="0.3">
      <c r="A28" t="s">
        <v>14</v>
      </c>
      <c r="B28" t="str">
        <f>PROPER(Table1[[#This Row],[BRAND]])</f>
        <v>Unbranded</v>
      </c>
      <c r="C28" t="s">
        <v>4</v>
      </c>
      <c r="D28" t="str">
        <f t="shared" si="1"/>
        <v>EAU DE PARFUM</v>
      </c>
      <c r="E28" t="str">
        <f t="shared" si="2"/>
        <v>eau de parfum</v>
      </c>
      <c r="F28" s="5">
        <v>92.99</v>
      </c>
      <c r="G28" t="s">
        <v>131</v>
      </c>
      <c r="H28" t="str">
        <f t="shared" si="3"/>
        <v>US</v>
      </c>
      <c r="I28" t="str">
        <f t="shared" si="4"/>
        <v>.99</v>
      </c>
      <c r="J28" t="str">
        <f t="shared" si="0"/>
        <v xml:space="preserve"> 2024 00:01:17</v>
      </c>
      <c r="K28" s="7">
        <v>5</v>
      </c>
      <c r="L28" t="s">
        <v>132</v>
      </c>
      <c r="M28" s="7">
        <v>19</v>
      </c>
      <c r="N28" t="s">
        <v>133</v>
      </c>
      <c r="O28" t="s">
        <v>134</v>
      </c>
    </row>
    <row r="29" spans="1:15" x14ac:dyDescent="0.3">
      <c r="A29" t="s">
        <v>125</v>
      </c>
      <c r="B29" t="str">
        <f>PROPER(Table1[[#This Row],[BRAND]])</f>
        <v>Azzaro</v>
      </c>
      <c r="C29" t="s">
        <v>4</v>
      </c>
      <c r="D29" t="str">
        <f t="shared" si="1"/>
        <v>EAU DE PARFUM</v>
      </c>
      <c r="E29" t="str">
        <f t="shared" si="2"/>
        <v>eau de parfum</v>
      </c>
      <c r="F29" s="5">
        <v>87.99</v>
      </c>
      <c r="G29" t="s">
        <v>135</v>
      </c>
      <c r="H29" t="str">
        <f t="shared" si="3"/>
        <v>US</v>
      </c>
      <c r="I29" t="str">
        <f t="shared" si="4"/>
        <v>.99</v>
      </c>
      <c r="J29" t="str">
        <f t="shared" si="0"/>
        <v/>
      </c>
      <c r="K29" s="7">
        <v>2</v>
      </c>
      <c r="L29" t="s">
        <v>136</v>
      </c>
      <c r="M29" s="7">
        <v>4</v>
      </c>
      <c r="O29" t="s">
        <v>137</v>
      </c>
    </row>
    <row r="30" spans="1:15" x14ac:dyDescent="0.3">
      <c r="A30" t="s">
        <v>20</v>
      </c>
      <c r="B30" t="str">
        <f>PROPER(Table1[[#This Row],[BRAND]])</f>
        <v>Giorgio Armani</v>
      </c>
      <c r="C30" t="s">
        <v>4</v>
      </c>
      <c r="D30" t="str">
        <f t="shared" si="1"/>
        <v>EAU DE PARFUM</v>
      </c>
      <c r="E30" t="str">
        <f t="shared" si="2"/>
        <v>eau de parfum</v>
      </c>
      <c r="F30" s="5">
        <v>119.99</v>
      </c>
      <c r="G30" t="s">
        <v>138</v>
      </c>
      <c r="H30" t="str">
        <f t="shared" si="3"/>
        <v>US</v>
      </c>
      <c r="I30" t="str">
        <f t="shared" si="4"/>
        <v>.99</v>
      </c>
      <c r="J30" t="str">
        <f t="shared" si="0"/>
        <v xml:space="preserve"> 2024 07:16:53</v>
      </c>
      <c r="K30" s="7">
        <v>10</v>
      </c>
      <c r="L30" t="s">
        <v>139</v>
      </c>
      <c r="M30" s="7">
        <v>34</v>
      </c>
      <c r="N30" t="s">
        <v>140</v>
      </c>
      <c r="O30" t="s">
        <v>141</v>
      </c>
    </row>
    <row r="31" spans="1:15" x14ac:dyDescent="0.3">
      <c r="A31" t="s">
        <v>142</v>
      </c>
      <c r="B31" t="str">
        <f>PROPER(Table1[[#This Row],[BRAND]])</f>
        <v>Penhaligon'S</v>
      </c>
      <c r="C31" t="s">
        <v>4</v>
      </c>
      <c r="D31" t="str">
        <f t="shared" si="1"/>
        <v>EAU DE PARFUM</v>
      </c>
      <c r="E31" t="str">
        <f t="shared" si="2"/>
        <v>eau de parfum</v>
      </c>
      <c r="F31" s="5">
        <v>99.99</v>
      </c>
      <c r="G31" t="s">
        <v>143</v>
      </c>
      <c r="H31" t="str">
        <f t="shared" si="3"/>
        <v>US</v>
      </c>
      <c r="I31" t="str">
        <f t="shared" si="4"/>
        <v>.99</v>
      </c>
      <c r="J31" t="str">
        <f t="shared" si="0"/>
        <v xml:space="preserve"> 2024 04:16:27</v>
      </c>
      <c r="K31" s="7"/>
      <c r="L31" t="s">
        <v>144</v>
      </c>
      <c r="M31" s="7">
        <v>30</v>
      </c>
      <c r="N31" t="s">
        <v>145</v>
      </c>
      <c r="O31" t="s">
        <v>146</v>
      </c>
    </row>
    <row r="32" spans="1:15" x14ac:dyDescent="0.3">
      <c r="A32" t="s">
        <v>147</v>
      </c>
      <c r="B32" t="str">
        <f>PROPER(Table1[[#This Row],[BRAND]])</f>
        <v>Bharara</v>
      </c>
      <c r="C32" t="s">
        <v>4</v>
      </c>
      <c r="D32" t="str">
        <f t="shared" si="1"/>
        <v>EAU DE PARFUM</v>
      </c>
      <c r="E32" t="str">
        <f t="shared" si="2"/>
        <v>eau de parfum</v>
      </c>
      <c r="F32" s="5">
        <v>51.91</v>
      </c>
      <c r="G32" t="s">
        <v>148</v>
      </c>
      <c r="H32" t="str">
        <f t="shared" si="3"/>
        <v>US</v>
      </c>
      <c r="I32" t="str">
        <f t="shared" si="4"/>
        <v>/ea</v>
      </c>
      <c r="J32" t="str">
        <f t="shared" si="0"/>
        <v xml:space="preserve"> 2024 13:15:33</v>
      </c>
      <c r="K32" s="7">
        <v>4</v>
      </c>
      <c r="L32" t="s">
        <v>149</v>
      </c>
      <c r="M32" s="7">
        <v>47</v>
      </c>
      <c r="N32" t="s">
        <v>150</v>
      </c>
      <c r="O32" t="s">
        <v>151</v>
      </c>
    </row>
    <row r="33" spans="1:15" x14ac:dyDescent="0.3">
      <c r="A33" t="s">
        <v>79</v>
      </c>
      <c r="B33" t="str">
        <f>PROPER(Table1[[#This Row],[BRAND]])</f>
        <v>Paco Rabanne</v>
      </c>
      <c r="C33" t="s">
        <v>15</v>
      </c>
      <c r="D33" t="str">
        <f t="shared" si="1"/>
        <v>EAU DE TOILETTE</v>
      </c>
      <c r="E33" t="str">
        <f t="shared" si="2"/>
        <v>eau de toilette</v>
      </c>
      <c r="F33" s="5">
        <v>49.99</v>
      </c>
      <c r="G33" t="s">
        <v>52</v>
      </c>
      <c r="H33" t="str">
        <f t="shared" si="3"/>
        <v>US</v>
      </c>
      <c r="I33" t="str">
        <f t="shared" si="4"/>
        <v>/ea</v>
      </c>
      <c r="J33" t="str">
        <f t="shared" si="0"/>
        <v xml:space="preserve"> 2024 07:03:35</v>
      </c>
      <c r="K33" s="7">
        <v>8</v>
      </c>
      <c r="L33" t="s">
        <v>152</v>
      </c>
      <c r="M33" s="7">
        <v>170</v>
      </c>
      <c r="N33" t="s">
        <v>153</v>
      </c>
      <c r="O33" t="s">
        <v>154</v>
      </c>
    </row>
    <row r="34" spans="1:15" x14ac:dyDescent="0.3">
      <c r="A34" t="s">
        <v>90</v>
      </c>
      <c r="B34" t="str">
        <f>PROPER(Table1[[#This Row],[BRAND]])</f>
        <v>Armaf</v>
      </c>
      <c r="C34" t="s">
        <v>15</v>
      </c>
      <c r="D34" t="str">
        <f t="shared" si="1"/>
        <v>EAU DE TOILETTE</v>
      </c>
      <c r="E34" t="str">
        <f t="shared" si="2"/>
        <v>eau de toilette</v>
      </c>
      <c r="F34" s="5">
        <v>32.85</v>
      </c>
      <c r="G34" t="s">
        <v>155</v>
      </c>
      <c r="H34" t="str">
        <f t="shared" si="3"/>
        <v>US</v>
      </c>
      <c r="I34" t="str">
        <f t="shared" si="4"/>
        <v>/ea</v>
      </c>
      <c r="J34" t="str">
        <f t="shared" ref="J34:J50" si="5">MID(N34,8,14)</f>
        <v xml:space="preserve"> 2024 15:41:45</v>
      </c>
      <c r="K34" s="7">
        <v>10</v>
      </c>
      <c r="L34" t="s">
        <v>156</v>
      </c>
      <c r="M34" s="7">
        <v>8385</v>
      </c>
      <c r="N34" t="s">
        <v>157</v>
      </c>
      <c r="O34" t="s">
        <v>36</v>
      </c>
    </row>
    <row r="35" spans="1:15" x14ac:dyDescent="0.3">
      <c r="A35" t="s">
        <v>158</v>
      </c>
      <c r="B35" t="str">
        <f>PROPER(Table1[[#This Row],[BRAND]])</f>
        <v>Valentino</v>
      </c>
      <c r="C35" t="s">
        <v>15</v>
      </c>
      <c r="D35" t="str">
        <f t="shared" si="1"/>
        <v>EAU DE TOILETTE</v>
      </c>
      <c r="E35" t="str">
        <f t="shared" si="2"/>
        <v>eau de toilette</v>
      </c>
      <c r="F35" s="5">
        <v>89.97</v>
      </c>
      <c r="G35" t="s">
        <v>127</v>
      </c>
      <c r="H35" t="str">
        <f t="shared" si="3"/>
        <v>US</v>
      </c>
      <c r="I35" t="str">
        <f t="shared" si="4"/>
        <v>/ea</v>
      </c>
      <c r="J35" t="str">
        <f t="shared" si="5"/>
        <v xml:space="preserve"> 2024 08:44:55</v>
      </c>
      <c r="K35" s="7">
        <v>10</v>
      </c>
      <c r="L35" t="s">
        <v>159</v>
      </c>
      <c r="M35" s="7">
        <v>295</v>
      </c>
      <c r="N35" t="s">
        <v>160</v>
      </c>
      <c r="O35" t="s">
        <v>130</v>
      </c>
    </row>
    <row r="36" spans="1:15" x14ac:dyDescent="0.3">
      <c r="A36" t="s">
        <v>161</v>
      </c>
      <c r="B36" t="str">
        <f>PROPER(Table1[[#This Row],[BRAND]])</f>
        <v>Guy Laroche</v>
      </c>
      <c r="C36" t="s">
        <v>15</v>
      </c>
      <c r="D36" t="str">
        <f t="shared" si="1"/>
        <v>EAU DE TOILETTE</v>
      </c>
      <c r="E36" t="str">
        <f t="shared" si="2"/>
        <v>eau de toilette</v>
      </c>
      <c r="F36" s="5">
        <v>16.98</v>
      </c>
      <c r="G36" t="s">
        <v>162</v>
      </c>
      <c r="H36" t="str">
        <f t="shared" si="3"/>
        <v>US</v>
      </c>
      <c r="I36" t="str">
        <f t="shared" si="4"/>
        <v>/ea</v>
      </c>
      <c r="J36" t="str">
        <f t="shared" si="5"/>
        <v xml:space="preserve"> 2024 18:45:23</v>
      </c>
      <c r="K36" s="7">
        <v>620</v>
      </c>
      <c r="L36" t="s">
        <v>163</v>
      </c>
      <c r="M36" s="7">
        <v>2345</v>
      </c>
      <c r="N36" t="s">
        <v>164</v>
      </c>
      <c r="O36" t="s">
        <v>120</v>
      </c>
    </row>
    <row r="37" spans="1:15" x14ac:dyDescent="0.3">
      <c r="A37" t="s">
        <v>165</v>
      </c>
      <c r="B37" t="str">
        <f>PROPER(Table1[[#This Row],[BRAND]])</f>
        <v>Montblanc</v>
      </c>
      <c r="C37" t="s">
        <v>15</v>
      </c>
      <c r="D37" t="str">
        <f t="shared" si="1"/>
        <v>EAU DE TOILETTE</v>
      </c>
      <c r="E37" t="str">
        <f t="shared" si="2"/>
        <v>eau de toilette</v>
      </c>
      <c r="F37" s="5">
        <v>32.89</v>
      </c>
      <c r="G37" t="s">
        <v>166</v>
      </c>
      <c r="H37" t="str">
        <f t="shared" si="3"/>
        <v>US</v>
      </c>
      <c r="I37" t="str">
        <f t="shared" si="4"/>
        <v>/ea</v>
      </c>
      <c r="J37" t="str">
        <f t="shared" si="5"/>
        <v xml:space="preserve"> 2024 07:59:07</v>
      </c>
      <c r="K37" s="7">
        <v>383</v>
      </c>
      <c r="L37" t="s">
        <v>167</v>
      </c>
      <c r="M37" s="7">
        <v>5032</v>
      </c>
      <c r="N37" t="s">
        <v>168</v>
      </c>
      <c r="O37" t="s">
        <v>120</v>
      </c>
    </row>
    <row r="38" spans="1:15" x14ac:dyDescent="0.3">
      <c r="A38" t="s">
        <v>169</v>
      </c>
      <c r="B38" t="str">
        <f>PROPER(Table1[[#This Row],[BRAND]])</f>
        <v>Rasasi</v>
      </c>
      <c r="C38" t="s">
        <v>4</v>
      </c>
      <c r="D38" t="str">
        <f t="shared" si="1"/>
        <v>EAU DE PARFUM</v>
      </c>
      <c r="E38" t="str">
        <f t="shared" si="2"/>
        <v>eau de parfum</v>
      </c>
      <c r="F38" s="5">
        <v>45.11</v>
      </c>
      <c r="G38" t="s">
        <v>170</v>
      </c>
      <c r="H38" t="str">
        <f t="shared" si="3"/>
        <v>US</v>
      </c>
      <c r="I38" t="str">
        <f t="shared" si="4"/>
        <v>.11</v>
      </c>
      <c r="J38" t="str">
        <f t="shared" si="5"/>
        <v xml:space="preserve"> 2024 09:50:28</v>
      </c>
      <c r="K38" s="7"/>
      <c r="L38" t="s">
        <v>171</v>
      </c>
      <c r="M38" s="7">
        <v>258</v>
      </c>
      <c r="N38" t="s">
        <v>172</v>
      </c>
      <c r="O38" t="s">
        <v>30</v>
      </c>
    </row>
    <row r="39" spans="1:15" x14ac:dyDescent="0.3">
      <c r="A39" t="s">
        <v>37</v>
      </c>
      <c r="B39" t="str">
        <f>PROPER(Table1[[#This Row],[BRAND]])</f>
        <v>Maison Alhambra</v>
      </c>
      <c r="C39" t="s">
        <v>26</v>
      </c>
      <c r="D39" t="str">
        <f t="shared" si="1"/>
        <v>FRAGRANCES</v>
      </c>
      <c r="E39" t="str">
        <f t="shared" si="2"/>
        <v>fragrances</v>
      </c>
      <c r="F39" s="5">
        <v>19.73</v>
      </c>
      <c r="G39" t="s">
        <v>173</v>
      </c>
      <c r="H39" t="str">
        <f t="shared" si="3"/>
        <v>US</v>
      </c>
      <c r="I39" t="str">
        <f t="shared" si="4"/>
        <v>.73</v>
      </c>
      <c r="J39" t="str">
        <f t="shared" si="5"/>
        <v xml:space="preserve"> 2024 07:02:34</v>
      </c>
      <c r="K39" s="7"/>
      <c r="L39" t="s">
        <v>174</v>
      </c>
      <c r="M39" s="7">
        <v>55</v>
      </c>
      <c r="N39" t="s">
        <v>175</v>
      </c>
      <c r="O39" t="s">
        <v>30</v>
      </c>
    </row>
    <row r="40" spans="1:15" x14ac:dyDescent="0.3">
      <c r="A40" t="s">
        <v>90</v>
      </c>
      <c r="B40" t="str">
        <f>PROPER(Table1[[#This Row],[BRAND]])</f>
        <v>Armaf</v>
      </c>
      <c r="C40" t="s">
        <v>4</v>
      </c>
      <c r="D40" t="str">
        <f t="shared" si="1"/>
        <v>EAU DE PARFUM</v>
      </c>
      <c r="E40" t="str">
        <f t="shared" si="2"/>
        <v>eau de parfum</v>
      </c>
      <c r="F40" s="5">
        <v>39.99</v>
      </c>
      <c r="G40" t="s">
        <v>96</v>
      </c>
      <c r="H40" t="str">
        <f t="shared" si="3"/>
        <v>US</v>
      </c>
      <c r="I40" t="str">
        <f t="shared" si="4"/>
        <v>/ea</v>
      </c>
      <c r="J40" t="str">
        <f t="shared" si="5"/>
        <v xml:space="preserve"> 2024 06:26:11</v>
      </c>
      <c r="K40" s="7">
        <v>8</v>
      </c>
      <c r="L40" t="s">
        <v>176</v>
      </c>
      <c r="M40" s="7">
        <v>276</v>
      </c>
      <c r="N40" t="s">
        <v>177</v>
      </c>
      <c r="O40" t="s">
        <v>178</v>
      </c>
    </row>
    <row r="41" spans="1:15" x14ac:dyDescent="0.3">
      <c r="A41" t="s">
        <v>179</v>
      </c>
      <c r="B41" t="str">
        <f>PROPER(Table1[[#This Row],[BRAND]])</f>
        <v>Calvin Klein</v>
      </c>
      <c r="C41" t="s">
        <v>15</v>
      </c>
      <c r="D41" t="str">
        <f t="shared" si="1"/>
        <v>EAU DE TOILETTE</v>
      </c>
      <c r="E41" t="str">
        <f t="shared" si="2"/>
        <v>eau de toilette</v>
      </c>
      <c r="F41" s="5">
        <v>40.6</v>
      </c>
      <c r="G41" t="s">
        <v>180</v>
      </c>
      <c r="H41" t="str">
        <f t="shared" si="3"/>
        <v>US</v>
      </c>
      <c r="I41" t="str">
        <f t="shared" si="4"/>
        <v>/ea</v>
      </c>
      <c r="J41" t="str">
        <f t="shared" si="5"/>
        <v xml:space="preserve"> 2024 09:35:06</v>
      </c>
      <c r="K41" s="7"/>
      <c r="L41" t="s">
        <v>181</v>
      </c>
      <c r="M41" s="7">
        <v>5582</v>
      </c>
      <c r="N41" t="s">
        <v>182</v>
      </c>
      <c r="O41" t="s">
        <v>120</v>
      </c>
    </row>
    <row r="42" spans="1:15" x14ac:dyDescent="0.3">
      <c r="A42" t="s">
        <v>183</v>
      </c>
      <c r="B42" t="str">
        <f>PROPER(Table1[[#This Row],[BRAND]])</f>
        <v>Uomo</v>
      </c>
      <c r="C42" t="s">
        <v>15</v>
      </c>
      <c r="D42" t="str">
        <f t="shared" si="1"/>
        <v>EAU DE TOILETTE</v>
      </c>
      <c r="E42" t="str">
        <f t="shared" si="2"/>
        <v>eau de toilette</v>
      </c>
      <c r="F42" s="5">
        <v>54.99</v>
      </c>
      <c r="G42" t="s">
        <v>184</v>
      </c>
      <c r="H42" t="str">
        <f t="shared" si="3"/>
        <v>US</v>
      </c>
      <c r="I42" t="str">
        <f t="shared" si="4"/>
        <v>.99</v>
      </c>
      <c r="J42" t="str">
        <f t="shared" si="5"/>
        <v xml:space="preserve"> 2024 19:02:53</v>
      </c>
      <c r="K42" s="7"/>
      <c r="L42" t="s">
        <v>185</v>
      </c>
      <c r="M42" s="7">
        <v>8</v>
      </c>
      <c r="N42" t="s">
        <v>186</v>
      </c>
      <c r="O42" t="s">
        <v>187</v>
      </c>
    </row>
    <row r="43" spans="1:15" x14ac:dyDescent="0.3">
      <c r="A43" t="s">
        <v>79</v>
      </c>
      <c r="B43" t="str">
        <f>PROPER(Table1[[#This Row],[BRAND]])</f>
        <v>Paco Rabanne</v>
      </c>
      <c r="C43" t="s">
        <v>15</v>
      </c>
      <c r="D43" t="str">
        <f t="shared" si="1"/>
        <v>EAU DE TOILETTE</v>
      </c>
      <c r="E43" t="str">
        <f t="shared" si="2"/>
        <v>eau de toilette</v>
      </c>
      <c r="F43" s="5">
        <v>40.99</v>
      </c>
      <c r="G43" t="s">
        <v>188</v>
      </c>
      <c r="H43" t="str">
        <f t="shared" si="3"/>
        <v>US</v>
      </c>
      <c r="I43" t="str">
        <f t="shared" si="4"/>
        <v>.99</v>
      </c>
      <c r="J43" t="str">
        <f t="shared" si="5"/>
        <v xml:space="preserve"> 2024 00:25:54</v>
      </c>
      <c r="K43" s="7">
        <v>10</v>
      </c>
      <c r="L43" t="s">
        <v>189</v>
      </c>
      <c r="M43" s="7">
        <v>37</v>
      </c>
      <c r="N43" t="s">
        <v>190</v>
      </c>
      <c r="O43" t="s">
        <v>134</v>
      </c>
    </row>
    <row r="44" spans="1:15" x14ac:dyDescent="0.3">
      <c r="A44" t="s">
        <v>90</v>
      </c>
      <c r="B44" t="str">
        <f>PROPER(Table1[[#This Row],[BRAND]])</f>
        <v>Armaf</v>
      </c>
      <c r="C44" t="s">
        <v>4</v>
      </c>
      <c r="D44" t="str">
        <f t="shared" si="1"/>
        <v>EAU DE PARFUM</v>
      </c>
      <c r="E44" t="str">
        <f t="shared" si="2"/>
        <v>eau de parfum</v>
      </c>
      <c r="F44" s="5">
        <v>34.840000000000003</v>
      </c>
      <c r="G44" t="s">
        <v>191</v>
      </c>
      <c r="H44" t="str">
        <f t="shared" si="3"/>
        <v>US</v>
      </c>
      <c r="I44" t="str">
        <f t="shared" si="4"/>
        <v>/ea</v>
      </c>
      <c r="J44" t="str">
        <f t="shared" si="5"/>
        <v xml:space="preserve"> 2024 07:32:37</v>
      </c>
      <c r="K44" s="7"/>
      <c r="L44" t="s">
        <v>192</v>
      </c>
      <c r="M44" s="7">
        <v>4460</v>
      </c>
      <c r="N44" t="s">
        <v>193</v>
      </c>
      <c r="O44" t="s">
        <v>107</v>
      </c>
    </row>
    <row r="45" spans="1:15" x14ac:dyDescent="0.3">
      <c r="A45" t="s">
        <v>194</v>
      </c>
      <c r="B45" t="str">
        <f>PROPER(Table1[[#This Row],[BRAND]])</f>
        <v>Givenchy</v>
      </c>
      <c r="C45" t="s">
        <v>15</v>
      </c>
      <c r="D45" t="str">
        <f t="shared" si="1"/>
        <v>EAU DE TOILETTE</v>
      </c>
      <c r="E45" t="str">
        <f t="shared" si="2"/>
        <v>eau de toilette</v>
      </c>
      <c r="F45" s="5">
        <v>34.72</v>
      </c>
      <c r="G45" t="s">
        <v>195</v>
      </c>
      <c r="H45" t="str">
        <f t="shared" si="3"/>
        <v>US</v>
      </c>
      <c r="I45" t="str">
        <f t="shared" si="4"/>
        <v>/ea</v>
      </c>
      <c r="J45" t="str">
        <f t="shared" si="5"/>
        <v xml:space="preserve"> 2024 10:20:09</v>
      </c>
      <c r="K45" s="7">
        <v>71</v>
      </c>
      <c r="L45" t="s">
        <v>196</v>
      </c>
      <c r="M45" s="7">
        <v>627</v>
      </c>
      <c r="N45" t="s">
        <v>197</v>
      </c>
      <c r="O45" t="s">
        <v>120</v>
      </c>
    </row>
    <row r="46" spans="1:15" x14ac:dyDescent="0.3">
      <c r="A46" t="s">
        <v>125</v>
      </c>
      <c r="B46" t="str">
        <f>PROPER(Table1[[#This Row],[BRAND]])</f>
        <v>Azzaro</v>
      </c>
      <c r="C46" t="s">
        <v>15</v>
      </c>
      <c r="D46" t="str">
        <f t="shared" si="1"/>
        <v>EAU DE TOILETTE</v>
      </c>
      <c r="E46" t="str">
        <f t="shared" si="2"/>
        <v>eau de toilette</v>
      </c>
      <c r="F46" s="5">
        <v>46.33</v>
      </c>
      <c r="G46" t="s">
        <v>198</v>
      </c>
      <c r="H46" t="str">
        <f t="shared" si="3"/>
        <v>US</v>
      </c>
      <c r="I46" t="str">
        <f t="shared" si="4"/>
        <v>/ea</v>
      </c>
      <c r="J46" t="str">
        <f t="shared" si="5"/>
        <v xml:space="preserve"> 2024 07:58:01</v>
      </c>
      <c r="K46" s="7"/>
      <c r="L46" t="s">
        <v>199</v>
      </c>
      <c r="M46" s="7">
        <v>30655</v>
      </c>
      <c r="N46" t="s">
        <v>200</v>
      </c>
      <c r="O46" t="s">
        <v>107</v>
      </c>
    </row>
    <row r="47" spans="1:15" x14ac:dyDescent="0.3">
      <c r="A47" t="s">
        <v>90</v>
      </c>
      <c r="B47" t="str">
        <f>PROPER(Table1[[#This Row],[BRAND]])</f>
        <v>Armaf</v>
      </c>
      <c r="C47" t="s">
        <v>4</v>
      </c>
      <c r="D47" t="str">
        <f t="shared" si="1"/>
        <v>EAU DE PARFUM</v>
      </c>
      <c r="E47" t="str">
        <f t="shared" si="2"/>
        <v>eau de parfum</v>
      </c>
      <c r="F47" s="5">
        <v>39</v>
      </c>
      <c r="G47" t="s">
        <v>201</v>
      </c>
      <c r="H47" t="str">
        <f t="shared" si="3"/>
        <v>US</v>
      </c>
      <c r="I47" t="str">
        <f t="shared" si="4"/>
        <v>.00</v>
      </c>
      <c r="J47" t="str">
        <f t="shared" si="5"/>
        <v xml:space="preserve"> 2024 10:17:56</v>
      </c>
      <c r="K47" s="7">
        <v>3</v>
      </c>
      <c r="L47" t="s">
        <v>202</v>
      </c>
      <c r="M47" s="7">
        <v>24</v>
      </c>
      <c r="N47" t="s">
        <v>203</v>
      </c>
      <c r="O47" t="s">
        <v>30</v>
      </c>
    </row>
    <row r="48" spans="1:15" x14ac:dyDescent="0.3">
      <c r="A48" t="s">
        <v>25</v>
      </c>
      <c r="B48" t="str">
        <f>PROPER(Table1[[#This Row],[BRAND]])</f>
        <v>Lattafa</v>
      </c>
      <c r="C48" t="s">
        <v>4</v>
      </c>
      <c r="D48" t="str">
        <f t="shared" si="1"/>
        <v>EAU DE PARFUM</v>
      </c>
      <c r="E48" t="str">
        <f t="shared" si="2"/>
        <v>eau de parfum</v>
      </c>
      <c r="F48" s="5">
        <v>21.54</v>
      </c>
      <c r="G48" t="s">
        <v>204</v>
      </c>
      <c r="H48" t="str">
        <f t="shared" si="3"/>
        <v>US</v>
      </c>
      <c r="I48" t="str">
        <f t="shared" si="4"/>
        <v>/ea</v>
      </c>
      <c r="J48" t="str">
        <f t="shared" si="5"/>
        <v xml:space="preserve"> 2024 06:21:20</v>
      </c>
      <c r="K48" s="7">
        <v>96</v>
      </c>
      <c r="L48" t="s">
        <v>205</v>
      </c>
      <c r="M48" s="7">
        <v>989</v>
      </c>
      <c r="N48" t="s">
        <v>206</v>
      </c>
      <c r="O48" t="s">
        <v>120</v>
      </c>
    </row>
    <row r="49" spans="1:15" x14ac:dyDescent="0.3">
      <c r="A49" t="s">
        <v>207</v>
      </c>
      <c r="B49" t="str">
        <f>PROPER(Table1[[#This Row],[BRAND]])</f>
        <v>Polo Ralph Lauren</v>
      </c>
      <c r="C49" t="s">
        <v>15</v>
      </c>
      <c r="D49" t="str">
        <f t="shared" si="1"/>
        <v>EAU DE TOILETTE</v>
      </c>
      <c r="E49" t="str">
        <f t="shared" si="2"/>
        <v>eau de toilette</v>
      </c>
      <c r="F49" s="5">
        <v>32.97</v>
      </c>
      <c r="G49" t="s">
        <v>208</v>
      </c>
      <c r="H49" t="str">
        <f t="shared" si="3"/>
        <v>US</v>
      </c>
      <c r="I49" t="str">
        <f t="shared" si="4"/>
        <v>/ea</v>
      </c>
      <c r="J49" t="str">
        <f t="shared" si="5"/>
        <v xml:space="preserve"> 2024 07:57:49</v>
      </c>
      <c r="K49" s="7">
        <v>756</v>
      </c>
      <c r="L49" t="s">
        <v>209</v>
      </c>
      <c r="M49" s="7">
        <v>5023</v>
      </c>
      <c r="N49" t="s">
        <v>210</v>
      </c>
      <c r="O49" t="s">
        <v>120</v>
      </c>
    </row>
    <row r="50" spans="1:15" x14ac:dyDescent="0.3">
      <c r="A50" t="s">
        <v>56</v>
      </c>
      <c r="B50" t="str">
        <f>PROPER(Table1[[#This Row],[BRAND]])</f>
        <v>Ralph Lauren</v>
      </c>
      <c r="C50" t="s">
        <v>15</v>
      </c>
      <c r="D50" t="str">
        <f t="shared" si="1"/>
        <v>EAU DE TOILETTE</v>
      </c>
      <c r="E50" t="str">
        <f t="shared" si="2"/>
        <v>eau de toilette</v>
      </c>
      <c r="F50" s="5">
        <v>23.34</v>
      </c>
      <c r="G50" t="s">
        <v>211</v>
      </c>
      <c r="H50" t="str">
        <f t="shared" si="3"/>
        <v>US</v>
      </c>
      <c r="I50" t="str">
        <f t="shared" si="4"/>
        <v>/ea</v>
      </c>
      <c r="J50" t="str">
        <f t="shared" si="5"/>
        <v xml:space="preserve"> 2024 08:09:10</v>
      </c>
      <c r="K50" s="7">
        <v>452</v>
      </c>
      <c r="L50" t="s">
        <v>212</v>
      </c>
      <c r="M50" s="7">
        <v>972</v>
      </c>
      <c r="N50" t="s">
        <v>213</v>
      </c>
      <c r="O50" t="s">
        <v>120</v>
      </c>
    </row>
    <row r="52" spans="1:15" x14ac:dyDescent="0.3">
      <c r="B52" s="4" t="s">
        <v>215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D6DE-2592-4032-8B40-12533167B57B}">
  <dimension ref="H8:H10"/>
  <sheetViews>
    <sheetView tabSelected="1" workbookViewId="0">
      <selection activeCell="H9" sqref="H9"/>
    </sheetView>
  </sheetViews>
  <sheetFormatPr defaultRowHeight="14.4" x14ac:dyDescent="0.3"/>
  <cols>
    <col min="8" max="8" width="72.44140625" customWidth="1"/>
  </cols>
  <sheetData>
    <row r="8" spans="8:8" ht="49.8" customHeight="1" x14ac:dyDescent="0.3">
      <c r="H8" s="8" t="s">
        <v>228</v>
      </c>
    </row>
    <row r="9" spans="8:8" ht="52.2" x14ac:dyDescent="0.3">
      <c r="H9" s="9" t="s">
        <v>229</v>
      </c>
    </row>
    <row r="10" spans="8:8" ht="17.399999999999999" x14ac:dyDescent="0.3">
      <c r="H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valli</dc:creator>
  <cp:lastModifiedBy>Mohana valli</cp:lastModifiedBy>
  <dcterms:created xsi:type="dcterms:W3CDTF">2025-11-12T16:53:00Z</dcterms:created>
  <dcterms:modified xsi:type="dcterms:W3CDTF">2025-11-13T12:38:43Z</dcterms:modified>
</cp:coreProperties>
</file>