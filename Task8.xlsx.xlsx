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ily Task\"/>
    </mc:Choice>
  </mc:AlternateContent>
  <xr:revisionPtr revIDLastSave="0" documentId="13_ncr:1_{49B4F320-F6DB-45C8-8D11-D9B561DCFC69}" xr6:coauthVersionLast="47" xr6:coauthVersionMax="47" xr10:uidLastSave="{00000000-0000-0000-0000-000000000000}"/>
  <bookViews>
    <workbookView xWindow="-108" yWindow="-108" windowWidth="23256" windowHeight="12456" activeTab="1" xr2:uid="{C7ABBB4C-053B-4C17-BDFC-41C6BF399995}"/>
  </bookViews>
  <sheets>
    <sheet name="Sheet1" sheetId="5" r:id="rId1"/>
    <sheet name="Sheet2" sheetId="6" r:id="rId2"/>
    <sheet name="She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6" l="1"/>
  <c r="H11" i="6"/>
  <c r="H8" i="6"/>
  <c r="H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5F18FB-BDEE-4BFE-812F-3864B63250BD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<sst xmlns="http://schemas.openxmlformats.org/spreadsheetml/2006/main" count="366" uniqueCount="105">
  <si>
    <t> Data Cleaning, Exploration &amp; Analysis</t>
  </si>
  <si>
    <t>Product ID</t>
  </si>
  <si>
    <t>28-JAN-US</t>
  </si>
  <si>
    <t>15-FEB-US</t>
  </si>
  <si>
    <t>03-MAR-US</t>
  </si>
  <si>
    <t>11-APR-US</t>
  </si>
  <si>
    <t>22-MAY-US</t>
  </si>
  <si>
    <t>07-JUN-UK</t>
  </si>
  <si>
    <t>19-JUL-UK</t>
  </si>
  <si>
    <t>23-AUG-UK</t>
  </si>
  <si>
    <t>05-SEP-UK</t>
  </si>
  <si>
    <t>14-OCT-UK</t>
  </si>
  <si>
    <t>17-JUN-IN</t>
  </si>
  <si>
    <t>25-NOV-AU</t>
  </si>
  <si>
    <t>08-DEC-DE</t>
  </si>
  <si>
    <t>18-FEB-CA</t>
  </si>
  <si>
    <t>16-APR-ES</t>
  </si>
  <si>
    <t>21-AUG-CA</t>
  </si>
  <si>
    <t>20-AUG-CN</t>
  </si>
  <si>
    <t>27-JAN-IT</t>
  </si>
  <si>
    <t>01-MAR-UK</t>
  </si>
  <si>
    <t>14-AUG-US</t>
  </si>
  <si>
    <t>14-MAY-RU</t>
  </si>
  <si>
    <t>09-JAN-CA</t>
  </si>
  <si>
    <t>19-JUL-BR</t>
  </si>
  <si>
    <t>29-SEP-CA</t>
  </si>
  <si>
    <t>03-JUN-CA</t>
  </si>
  <si>
    <t>11-JUL-CA</t>
  </si>
  <si>
    <t>07-MAR-CA</t>
  </si>
  <si>
    <t>13-APR-CA</t>
  </si>
  <si>
    <t>24-MAY-CA</t>
  </si>
  <si>
    <t>02-DEC-CA</t>
  </si>
  <si>
    <t>09-JUL-FR</t>
  </si>
  <si>
    <t>Product Name</t>
  </si>
  <si>
    <t>Laptop</t>
  </si>
  <si>
    <t>Sneakers</t>
  </si>
  <si>
    <t>Coffee Maker</t>
  </si>
  <si>
    <t>Smartphone</t>
  </si>
  <si>
    <t>Backpack</t>
  </si>
  <si>
    <t>Headphones</t>
  </si>
  <si>
    <t>T-shirt</t>
  </si>
  <si>
    <t>Blender</t>
  </si>
  <si>
    <t>Tablet</t>
  </si>
  <si>
    <t>Hiking Boots</t>
  </si>
  <si>
    <t>Smartwatch</t>
  </si>
  <si>
    <t>Laptop Bag</t>
  </si>
  <si>
    <t>Sunglasses</t>
  </si>
  <si>
    <t>Camping Tent</t>
  </si>
  <si>
    <t>Camera</t>
  </si>
  <si>
    <t>Microwave</t>
  </si>
  <si>
    <t>Fitness Tracker</t>
  </si>
  <si>
    <t>Dress</t>
  </si>
  <si>
    <t>Toaster</t>
  </si>
  <si>
    <t>Jeans</t>
  </si>
  <si>
    <t>Watch</t>
  </si>
  <si>
    <t>Brand Name</t>
  </si>
  <si>
    <t>Dell</t>
  </si>
  <si>
    <t>Nike</t>
  </si>
  <si>
    <t>Keurig</t>
  </si>
  <si>
    <t>Samsung</t>
  </si>
  <si>
    <t>North Face</t>
  </si>
  <si>
    <t>Sony</t>
  </si>
  <si>
    <t>Adidas</t>
  </si>
  <si>
    <t>Ninja</t>
  </si>
  <si>
    <t>Apple</t>
  </si>
  <si>
    <t>Timberland</t>
  </si>
  <si>
    <t>HP</t>
  </si>
  <si>
    <t>Nespresso</t>
  </si>
  <si>
    <t>Fitbit</t>
  </si>
  <si>
    <t>Bose</t>
  </si>
  <si>
    <t>Samsonite</t>
  </si>
  <si>
    <t>Huawei</t>
  </si>
  <si>
    <t>Asus</t>
  </si>
  <si>
    <t>Oakley</t>
  </si>
  <si>
    <t>Coleman</t>
  </si>
  <si>
    <t>Nikon</t>
  </si>
  <si>
    <t>Panasonic</t>
  </si>
  <si>
    <t>Xiaomi</t>
  </si>
  <si>
    <t>Google</t>
  </si>
  <si>
    <t>Ray-Ban</t>
  </si>
  <si>
    <t>Vitamix</t>
  </si>
  <si>
    <t>Zara</t>
  </si>
  <si>
    <t>Hamilton</t>
  </si>
  <si>
    <t>Garmin</t>
  </si>
  <si>
    <t>Levi's</t>
  </si>
  <si>
    <t>Casio</t>
  </si>
  <si>
    <t>Price ($)</t>
  </si>
  <si>
    <t>Price Range</t>
  </si>
  <si>
    <t>High Price</t>
  </si>
  <si>
    <t>Standard Price</t>
  </si>
  <si>
    <t>Quantity</t>
  </si>
  <si>
    <t>Category</t>
  </si>
  <si>
    <t>Electronics</t>
  </si>
  <si>
    <t>Fashion</t>
  </si>
  <si>
    <t>Kitchen</t>
  </si>
  <si>
    <t>Outdoor</t>
  </si>
  <si>
    <t>Accessories</t>
  </si>
  <si>
    <t>Column1</t>
  </si>
  <si>
    <t>Tot Avg</t>
  </si>
  <si>
    <t>Min Price</t>
  </si>
  <si>
    <t>Max price</t>
  </si>
  <si>
    <t>count of tot</t>
  </si>
  <si>
    <t>Tot count</t>
  </si>
  <si>
    <t>Summary</t>
  </si>
  <si>
    <t>I change the data into clean format and I do basic calculations and I explore patterns for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</si>
</sst>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3.95"/>
      <color rgb="FF000000"/>
      <name val="Arial"/>
      <family val="2"/>
    </font>
    <font>
      <b/>
      <sz val="10"/>
      <color theme="1"/>
      <name val="Aptos Display"/>
      <family val="2"/>
    </font>
    <font>
      <sz val="10"/>
      <color theme="1"/>
      <name val="Aptos Display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6"/>
      <color rgb="FF0B539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3" borderId="3" xfId="0" applyFont="1" applyFill="1" applyBorder="1"/>
    <xf numFmtId="0" fontId="3" fillId="3" borderId="4" xfId="0" applyFont="1" applyFill="1" applyBorder="1"/>
    <xf numFmtId="0" fontId="2" fillId="2" borderId="1" xfId="0" applyFont="1" applyFill="1" applyBorder="1" applyAlignment="1">
      <alignment horizontal="center"/>
    </xf>
    <xf numFmtId="0" fontId="3" fillId="0" borderId="5" xfId="0" applyFont="1" applyBorder="1"/>
    <xf numFmtId="0" fontId="3" fillId="3" borderId="5" xfId="0" applyFont="1" applyFill="1" applyBorder="1"/>
    <xf numFmtId="0" fontId="3" fillId="3" borderId="6" xfId="0" applyFont="1" applyFill="1" applyBorder="1"/>
    <xf numFmtId="0" fontId="3" fillId="0" borderId="5" xfId="0" applyFont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3" fillId="0" borderId="6" xfId="0" applyFont="1" applyBorder="1"/>
    <xf numFmtId="0" fontId="2" fillId="2" borderId="7" xfId="0" applyFont="1" applyFill="1" applyBorder="1" applyAlignment="1">
      <alignment horizontal="center"/>
    </xf>
    <xf numFmtId="0" fontId="3" fillId="0" borderId="8" xfId="0" applyFont="1" applyBorder="1"/>
    <xf numFmtId="0" fontId="3" fillId="3" borderId="8" xfId="0" applyFont="1" applyFill="1" applyBorder="1"/>
    <xf numFmtId="0" fontId="3" fillId="3" borderId="9" xfId="0" applyFont="1" applyFill="1" applyBorder="1"/>
    <xf numFmtId="0" fontId="0" fillId="0" borderId="5" xfId="0" applyBorder="1"/>
    <xf numFmtId="0" fontId="0" fillId="4" borderId="5" xfId="0" applyFill="1" applyBorder="1"/>
    <xf numFmtId="0" fontId="6" fillId="0" borderId="0" xfId="0" applyFont="1" applyAlignment="1">
      <alignment wrapText="1"/>
    </xf>
    <xf numFmtId="0" fontId="7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/>
    </xf>
    <xf numFmtId="1" fontId="0" fillId="0" borderId="0" xfId="0" applyNumberFormat="1"/>
    <xf numFmtId="1" fontId="0" fillId="4" borderId="5" xfId="0" applyNumberFormat="1" applyFill="1" applyBorder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6D1085-3B19-43F4-A3F7-69B93E746B3A}" name="Table1" displayName="Table1" ref="A1:H35" totalsRowShown="0" headerRowDxfId="10" headerRowBorderDxfId="9" tableBorderDxfId="8" totalsRowBorderDxfId="7">
  <autoFilter ref="A1:H35" xr:uid="{A56D1085-3B19-43F4-A3F7-69B93E746B3A}"/>
  <sortState xmlns:xlrd2="http://schemas.microsoft.com/office/spreadsheetml/2017/richdata2" ref="A2:H35">
    <sortCondition ref="B1:B35"/>
  </sortState>
  <tableColumns count="8">
    <tableColumn id="1" xr3:uid="{8C27E050-8BB9-48E0-9E71-5DA4F7C9F5AC}" name="Product ID" dataDxfId="6"/>
    <tableColumn id="2" xr3:uid="{DFB2BC09-5310-4276-8C10-5E3E29DD6185}" name="Product Name" dataDxfId="5"/>
    <tableColumn id="3" xr3:uid="{BD918F49-6C4E-4EF9-8D77-2D6C269C0E19}" name="Brand Name" dataDxfId="4"/>
    <tableColumn id="4" xr3:uid="{DF6BB47E-5A69-41FF-823E-0E46781B2F28}" name="Price ($)" dataDxfId="3"/>
    <tableColumn id="5" xr3:uid="{61BF7A06-7720-4782-99A6-CE9F9DCBA381}" name="Price Range" dataDxfId="2"/>
    <tableColumn id="6" xr3:uid="{C4BB948A-37FD-473D-9776-79721EB5B8CA}" name="Quantity" dataDxfId="1"/>
    <tableColumn id="7" xr3:uid="{F50A3E7E-4E3D-437C-A571-B02D4D71DE7B}" name="Category" dataDxfId="0"/>
    <tableColumn id="8" xr3:uid="{FEA1CCAD-B150-4189-8E3B-477D90EC74D3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B5228-F0F4-4773-8BB2-5D1E6C0B9622}">
  <dimension ref="A1:G35"/>
  <sheetViews>
    <sheetView topLeftCell="A5" workbookViewId="0">
      <selection activeCell="K8" sqref="K8"/>
    </sheetView>
  </sheetViews>
  <sheetFormatPr defaultRowHeight="14.4" x14ac:dyDescent="0.3"/>
  <cols>
    <col min="1" max="1" width="14.77734375" bestFit="1" customWidth="1"/>
    <col min="2" max="2" width="18" bestFit="1" customWidth="1"/>
    <col min="3" max="3" width="16.21875" bestFit="1" customWidth="1"/>
    <col min="4" max="4" width="12.77734375" style="14" bestFit="1" customWidth="1"/>
    <col min="5" max="5" width="16" customWidth="1"/>
    <col min="6" max="6" width="12.88671875" bestFit="1" customWidth="1"/>
    <col min="7" max="7" width="13.44140625" bestFit="1" customWidth="1"/>
  </cols>
  <sheetData>
    <row r="1" spans="1:7" x14ac:dyDescent="0.3">
      <c r="A1" s="3" t="s">
        <v>1</v>
      </c>
      <c r="B1" s="7" t="s">
        <v>33</v>
      </c>
      <c r="C1" s="7" t="s">
        <v>55</v>
      </c>
      <c r="D1" s="7" t="s">
        <v>86</v>
      </c>
      <c r="E1" s="7" t="s">
        <v>87</v>
      </c>
      <c r="F1" s="7" t="s">
        <v>90</v>
      </c>
      <c r="G1" s="7" t="s">
        <v>91</v>
      </c>
    </row>
    <row r="2" spans="1:7" x14ac:dyDescent="0.3">
      <c r="A2" s="4" t="s">
        <v>2</v>
      </c>
      <c r="B2" s="8" t="s">
        <v>34</v>
      </c>
      <c r="C2" s="8" t="s">
        <v>56</v>
      </c>
      <c r="D2" s="11">
        <v>1000</v>
      </c>
      <c r="E2" s="8" t="s">
        <v>88</v>
      </c>
      <c r="F2" s="8">
        <v>30</v>
      </c>
      <c r="G2" s="8" t="s">
        <v>92</v>
      </c>
    </row>
    <row r="3" spans="1:7" x14ac:dyDescent="0.3">
      <c r="A3" s="5" t="s">
        <v>3</v>
      </c>
      <c r="B3" s="9" t="s">
        <v>35</v>
      </c>
      <c r="C3" s="9" t="s">
        <v>57</v>
      </c>
      <c r="D3" s="12">
        <v>80</v>
      </c>
      <c r="E3" s="8" t="s">
        <v>89</v>
      </c>
      <c r="F3" s="9">
        <v>15</v>
      </c>
      <c r="G3" s="9" t="s">
        <v>93</v>
      </c>
    </row>
    <row r="4" spans="1:7" x14ac:dyDescent="0.3">
      <c r="A4" s="4" t="s">
        <v>4</v>
      </c>
      <c r="B4" s="8" t="s">
        <v>36</v>
      </c>
      <c r="C4" s="8" t="s">
        <v>58</v>
      </c>
      <c r="D4" s="11">
        <v>130</v>
      </c>
      <c r="E4" s="8" t="s">
        <v>89</v>
      </c>
      <c r="F4" s="8">
        <v>40</v>
      </c>
      <c r="G4" s="8" t="s">
        <v>94</v>
      </c>
    </row>
    <row r="5" spans="1:7" x14ac:dyDescent="0.3">
      <c r="A5" s="5" t="s">
        <v>5</v>
      </c>
      <c r="B5" s="9" t="s">
        <v>37</v>
      </c>
      <c r="C5" s="9" t="s">
        <v>59</v>
      </c>
      <c r="D5" s="12">
        <v>900</v>
      </c>
      <c r="E5" s="8" t="s">
        <v>88</v>
      </c>
      <c r="F5" s="9">
        <v>25</v>
      </c>
      <c r="G5" s="9" t="s">
        <v>92</v>
      </c>
    </row>
    <row r="6" spans="1:7" x14ac:dyDescent="0.3">
      <c r="A6" s="4" t="s">
        <v>6</v>
      </c>
      <c r="B6" s="8" t="s">
        <v>38</v>
      </c>
      <c r="C6" s="8" t="s">
        <v>60</v>
      </c>
      <c r="D6" s="11">
        <v>70</v>
      </c>
      <c r="E6" s="8" t="s">
        <v>89</v>
      </c>
      <c r="F6" s="8">
        <v>20</v>
      </c>
      <c r="G6" s="8" t="s">
        <v>95</v>
      </c>
    </row>
    <row r="7" spans="1:7" x14ac:dyDescent="0.3">
      <c r="A7" s="5" t="s">
        <v>7</v>
      </c>
      <c r="B7" s="9" t="s">
        <v>39</v>
      </c>
      <c r="C7" s="9" t="s">
        <v>61</v>
      </c>
      <c r="D7" s="12">
        <v>200</v>
      </c>
      <c r="E7" s="8" t="s">
        <v>89</v>
      </c>
      <c r="F7" s="9">
        <v>45</v>
      </c>
      <c r="G7" s="9" t="s">
        <v>92</v>
      </c>
    </row>
    <row r="8" spans="1:7" x14ac:dyDescent="0.3">
      <c r="A8" s="4" t="s">
        <v>8</v>
      </c>
      <c r="B8" s="8" t="s">
        <v>40</v>
      </c>
      <c r="C8" s="8" t="s">
        <v>62</v>
      </c>
      <c r="D8" s="11">
        <v>30</v>
      </c>
      <c r="E8" s="8" t="s">
        <v>89</v>
      </c>
      <c r="F8" s="8">
        <v>5</v>
      </c>
      <c r="G8" s="8" t="s">
        <v>93</v>
      </c>
    </row>
    <row r="9" spans="1:7" x14ac:dyDescent="0.3">
      <c r="A9" s="5" t="s">
        <v>9</v>
      </c>
      <c r="B9" s="9" t="s">
        <v>41</v>
      </c>
      <c r="C9" s="9" t="s">
        <v>63</v>
      </c>
      <c r="D9" s="12">
        <v>90</v>
      </c>
      <c r="E9" s="8" t="s">
        <v>89</v>
      </c>
      <c r="F9" s="9">
        <v>35</v>
      </c>
      <c r="G9" s="9" t="s">
        <v>94</v>
      </c>
    </row>
    <row r="10" spans="1:7" x14ac:dyDescent="0.3">
      <c r="A10" s="4" t="s">
        <v>10</v>
      </c>
      <c r="B10" s="8" t="s">
        <v>42</v>
      </c>
      <c r="C10" s="8" t="s">
        <v>64</v>
      </c>
      <c r="D10" s="11">
        <v>500</v>
      </c>
      <c r="E10" s="8" t="s">
        <v>88</v>
      </c>
      <c r="F10" s="8">
        <v>50</v>
      </c>
      <c r="G10" s="8" t="s">
        <v>92</v>
      </c>
    </row>
    <row r="11" spans="1:7" x14ac:dyDescent="0.3">
      <c r="A11" s="5" t="s">
        <v>11</v>
      </c>
      <c r="B11" s="9" t="s">
        <v>43</v>
      </c>
      <c r="C11" s="9" t="s">
        <v>65</v>
      </c>
      <c r="D11" s="12">
        <v>130</v>
      </c>
      <c r="E11" s="8" t="s">
        <v>89</v>
      </c>
      <c r="F11" s="9">
        <v>10</v>
      </c>
      <c r="G11" s="9" t="s">
        <v>95</v>
      </c>
    </row>
    <row r="12" spans="1:7" x14ac:dyDescent="0.3">
      <c r="A12" s="4" t="s">
        <v>12</v>
      </c>
      <c r="B12" s="8" t="s">
        <v>34</v>
      </c>
      <c r="C12" s="8" t="s">
        <v>66</v>
      </c>
      <c r="D12" s="11">
        <v>950</v>
      </c>
      <c r="E12" s="8" t="s">
        <v>88</v>
      </c>
      <c r="F12" s="8">
        <v>25</v>
      </c>
      <c r="G12" s="8" t="s">
        <v>92</v>
      </c>
    </row>
    <row r="13" spans="1:7" x14ac:dyDescent="0.3">
      <c r="A13" s="5" t="s">
        <v>13</v>
      </c>
      <c r="B13" s="9" t="s">
        <v>35</v>
      </c>
      <c r="C13" s="9" t="s">
        <v>62</v>
      </c>
      <c r="D13" s="12">
        <v>90</v>
      </c>
      <c r="E13" s="8" t="s">
        <v>89</v>
      </c>
      <c r="F13" s="9">
        <v>40</v>
      </c>
      <c r="G13" s="9" t="s">
        <v>93</v>
      </c>
    </row>
    <row r="14" spans="1:7" x14ac:dyDescent="0.3">
      <c r="A14" s="4" t="s">
        <v>14</v>
      </c>
      <c r="B14" s="8" t="s">
        <v>36</v>
      </c>
      <c r="C14" s="8" t="s">
        <v>67</v>
      </c>
      <c r="D14" s="11">
        <v>120</v>
      </c>
      <c r="E14" s="8" t="s">
        <v>89</v>
      </c>
      <c r="F14" s="8">
        <v>35</v>
      </c>
      <c r="G14" s="8" t="s">
        <v>94</v>
      </c>
    </row>
    <row r="15" spans="1:7" x14ac:dyDescent="0.3">
      <c r="A15" s="5" t="s">
        <v>15</v>
      </c>
      <c r="B15" s="9" t="s">
        <v>44</v>
      </c>
      <c r="C15" s="9" t="s">
        <v>68</v>
      </c>
      <c r="D15" s="12">
        <v>150</v>
      </c>
      <c r="E15" s="8" t="s">
        <v>89</v>
      </c>
      <c r="F15" s="9">
        <v>15</v>
      </c>
      <c r="G15" s="9" t="s">
        <v>92</v>
      </c>
    </row>
    <row r="16" spans="1:7" x14ac:dyDescent="0.3">
      <c r="A16" s="4" t="s">
        <v>16</v>
      </c>
      <c r="B16" s="8" t="s">
        <v>39</v>
      </c>
      <c r="C16" s="8" t="s">
        <v>69</v>
      </c>
      <c r="D16" s="11">
        <v>250</v>
      </c>
      <c r="E16" s="8" t="s">
        <v>89</v>
      </c>
      <c r="F16" s="8">
        <v>20</v>
      </c>
      <c r="G16" s="8" t="s">
        <v>92</v>
      </c>
    </row>
    <row r="17" spans="1:7" x14ac:dyDescent="0.3">
      <c r="A17" s="5" t="s">
        <v>17</v>
      </c>
      <c r="B17" s="9" t="s">
        <v>45</v>
      </c>
      <c r="C17" s="9" t="s">
        <v>70</v>
      </c>
      <c r="D17" s="12">
        <v>50</v>
      </c>
      <c r="E17" s="8" t="s">
        <v>89</v>
      </c>
      <c r="F17" s="9">
        <v>35</v>
      </c>
      <c r="G17" s="9" t="s">
        <v>96</v>
      </c>
    </row>
    <row r="18" spans="1:7" x14ac:dyDescent="0.3">
      <c r="A18" s="4" t="s">
        <v>18</v>
      </c>
      <c r="B18" s="8" t="s">
        <v>44</v>
      </c>
      <c r="C18" s="8" t="s">
        <v>71</v>
      </c>
      <c r="D18" s="11">
        <v>160</v>
      </c>
      <c r="E18" s="8" t="s">
        <v>89</v>
      </c>
      <c r="F18" s="8">
        <v>15</v>
      </c>
      <c r="G18" s="8" t="s">
        <v>92</v>
      </c>
    </row>
    <row r="19" spans="1:7" x14ac:dyDescent="0.3">
      <c r="A19" s="5" t="s">
        <v>19</v>
      </c>
      <c r="B19" s="9" t="s">
        <v>34</v>
      </c>
      <c r="C19" s="9" t="s">
        <v>72</v>
      </c>
      <c r="D19" s="12">
        <v>980</v>
      </c>
      <c r="E19" s="8" t="s">
        <v>88</v>
      </c>
      <c r="F19" s="9">
        <v>10</v>
      </c>
      <c r="G19" s="9" t="s">
        <v>92</v>
      </c>
    </row>
    <row r="20" spans="1:7" x14ac:dyDescent="0.3">
      <c r="A20" s="4" t="s">
        <v>20</v>
      </c>
      <c r="B20" s="8" t="s">
        <v>46</v>
      </c>
      <c r="C20" s="8" t="s">
        <v>73</v>
      </c>
      <c r="D20" s="11">
        <v>150</v>
      </c>
      <c r="E20" s="8" t="s">
        <v>89</v>
      </c>
      <c r="F20" s="8">
        <v>15</v>
      </c>
      <c r="G20" s="8" t="s">
        <v>93</v>
      </c>
    </row>
    <row r="21" spans="1:7" x14ac:dyDescent="0.3">
      <c r="A21" s="5" t="s">
        <v>21</v>
      </c>
      <c r="B21" s="9" t="s">
        <v>47</v>
      </c>
      <c r="C21" s="9" t="s">
        <v>74</v>
      </c>
      <c r="D21" s="12">
        <v>200</v>
      </c>
      <c r="E21" s="8" t="s">
        <v>89</v>
      </c>
      <c r="F21" s="9">
        <v>10</v>
      </c>
      <c r="G21" s="9" t="s">
        <v>95</v>
      </c>
    </row>
    <row r="22" spans="1:7" x14ac:dyDescent="0.3">
      <c r="A22" s="4" t="s">
        <v>22</v>
      </c>
      <c r="B22" s="8" t="s">
        <v>48</v>
      </c>
      <c r="C22" s="8" t="s">
        <v>75</v>
      </c>
      <c r="D22" s="11">
        <v>700</v>
      </c>
      <c r="E22" s="8" t="s">
        <v>88</v>
      </c>
      <c r="F22" s="8">
        <v>50</v>
      </c>
      <c r="G22" s="8" t="s">
        <v>92</v>
      </c>
    </row>
    <row r="23" spans="1:7" x14ac:dyDescent="0.3">
      <c r="A23" s="5" t="s">
        <v>23</v>
      </c>
      <c r="B23" s="9" t="s">
        <v>49</v>
      </c>
      <c r="C23" s="9" t="s">
        <v>76</v>
      </c>
      <c r="D23" s="12">
        <v>80</v>
      </c>
      <c r="E23" s="8" t="s">
        <v>89</v>
      </c>
      <c r="F23" s="9">
        <v>20</v>
      </c>
      <c r="G23" s="9" t="s">
        <v>94</v>
      </c>
    </row>
    <row r="24" spans="1:7" x14ac:dyDescent="0.3">
      <c r="A24" s="4" t="s">
        <v>24</v>
      </c>
      <c r="B24" s="8" t="s">
        <v>50</v>
      </c>
      <c r="C24" s="8" t="s">
        <v>77</v>
      </c>
      <c r="D24" s="11">
        <v>150</v>
      </c>
      <c r="E24" s="8" t="s">
        <v>89</v>
      </c>
      <c r="F24" s="8">
        <v>30</v>
      </c>
      <c r="G24" s="8" t="s">
        <v>92</v>
      </c>
    </row>
    <row r="25" spans="1:7" x14ac:dyDescent="0.3">
      <c r="A25" s="5" t="s">
        <v>17</v>
      </c>
      <c r="B25" s="9" t="s">
        <v>45</v>
      </c>
      <c r="C25" s="9" t="s">
        <v>70</v>
      </c>
      <c r="D25" s="12">
        <v>50</v>
      </c>
      <c r="E25" s="8" t="s">
        <v>89</v>
      </c>
      <c r="F25" s="9">
        <v>35</v>
      </c>
      <c r="G25" s="9" t="s">
        <v>96</v>
      </c>
    </row>
    <row r="26" spans="1:7" x14ac:dyDescent="0.3">
      <c r="A26" s="4" t="s">
        <v>25</v>
      </c>
      <c r="B26" s="8" t="s">
        <v>37</v>
      </c>
      <c r="C26" s="8" t="s">
        <v>78</v>
      </c>
      <c r="D26" s="11">
        <v>800</v>
      </c>
      <c r="E26" s="8" t="s">
        <v>88</v>
      </c>
      <c r="F26" s="8">
        <v>45</v>
      </c>
      <c r="G26" s="8" t="s">
        <v>92</v>
      </c>
    </row>
    <row r="27" spans="1:7" x14ac:dyDescent="0.3">
      <c r="A27" s="5" t="s">
        <v>26</v>
      </c>
      <c r="B27" s="9" t="s">
        <v>46</v>
      </c>
      <c r="C27" s="9" t="s">
        <v>79</v>
      </c>
      <c r="D27" s="12">
        <v>130</v>
      </c>
      <c r="E27" s="8" t="s">
        <v>89</v>
      </c>
      <c r="F27" s="9">
        <v>25</v>
      </c>
      <c r="G27" s="9" t="s">
        <v>93</v>
      </c>
    </row>
    <row r="28" spans="1:7" x14ac:dyDescent="0.3">
      <c r="A28" s="4" t="s">
        <v>27</v>
      </c>
      <c r="B28" s="8" t="s">
        <v>41</v>
      </c>
      <c r="C28" s="8" t="s">
        <v>80</v>
      </c>
      <c r="D28" s="11">
        <v>400</v>
      </c>
      <c r="E28" s="8" t="s">
        <v>89</v>
      </c>
      <c r="F28" s="8">
        <v>40</v>
      </c>
      <c r="G28" s="8" t="s">
        <v>94</v>
      </c>
    </row>
    <row r="29" spans="1:7" x14ac:dyDescent="0.3">
      <c r="A29" s="5" t="s">
        <v>16</v>
      </c>
      <c r="B29" s="9" t="s">
        <v>39</v>
      </c>
      <c r="C29" s="9" t="s">
        <v>69</v>
      </c>
      <c r="D29" s="12">
        <v>230</v>
      </c>
      <c r="E29" s="8" t="s">
        <v>89</v>
      </c>
      <c r="F29" s="9">
        <v>20</v>
      </c>
      <c r="G29" s="9" t="s">
        <v>92</v>
      </c>
    </row>
    <row r="30" spans="1:7" x14ac:dyDescent="0.3">
      <c r="A30" s="4" t="s">
        <v>28</v>
      </c>
      <c r="B30" s="8" t="s">
        <v>51</v>
      </c>
      <c r="C30" s="8" t="s">
        <v>81</v>
      </c>
      <c r="D30" s="11">
        <v>60</v>
      </c>
      <c r="E30" s="8" t="s">
        <v>89</v>
      </c>
      <c r="F30" s="8">
        <v>30</v>
      </c>
      <c r="G30" s="8" t="s">
        <v>93</v>
      </c>
    </row>
    <row r="31" spans="1:7" x14ac:dyDescent="0.3">
      <c r="A31" s="5" t="s">
        <v>29</v>
      </c>
      <c r="B31" s="9" t="s">
        <v>52</v>
      </c>
      <c r="C31" s="9" t="s">
        <v>82</v>
      </c>
      <c r="D31" s="12">
        <v>40</v>
      </c>
      <c r="E31" s="8" t="s">
        <v>89</v>
      </c>
      <c r="F31" s="9">
        <v>10</v>
      </c>
      <c r="G31" s="9" t="s">
        <v>94</v>
      </c>
    </row>
    <row r="32" spans="1:7" x14ac:dyDescent="0.3">
      <c r="A32" s="4" t="s">
        <v>30</v>
      </c>
      <c r="B32" s="8" t="s">
        <v>50</v>
      </c>
      <c r="C32" s="8" t="s">
        <v>83</v>
      </c>
      <c r="D32" s="11">
        <v>130</v>
      </c>
      <c r="E32" s="8" t="s">
        <v>89</v>
      </c>
      <c r="F32" s="8">
        <v>5</v>
      </c>
      <c r="G32" s="8" t="s">
        <v>92</v>
      </c>
    </row>
    <row r="33" spans="1:7" x14ac:dyDescent="0.3">
      <c r="A33" s="5" t="s">
        <v>31</v>
      </c>
      <c r="B33" s="9" t="s">
        <v>53</v>
      </c>
      <c r="C33" s="9" t="s">
        <v>84</v>
      </c>
      <c r="D33" s="12">
        <v>50</v>
      </c>
      <c r="E33" s="8" t="s">
        <v>89</v>
      </c>
      <c r="F33" s="9">
        <v>50</v>
      </c>
      <c r="G33" s="9" t="s">
        <v>93</v>
      </c>
    </row>
    <row r="34" spans="1:7" x14ac:dyDescent="0.3">
      <c r="A34" s="4" t="s">
        <v>12</v>
      </c>
      <c r="B34" s="8" t="s">
        <v>34</v>
      </c>
      <c r="C34" s="8" t="s">
        <v>66</v>
      </c>
      <c r="D34" s="11">
        <v>950</v>
      </c>
      <c r="E34" s="8" t="s">
        <v>88</v>
      </c>
      <c r="F34" s="8">
        <v>25</v>
      </c>
      <c r="G34" s="8" t="s">
        <v>92</v>
      </c>
    </row>
    <row r="35" spans="1:7" x14ac:dyDescent="0.3">
      <c r="A35" s="6" t="s">
        <v>32</v>
      </c>
      <c r="B35" s="10" t="s">
        <v>54</v>
      </c>
      <c r="C35" s="10" t="s">
        <v>85</v>
      </c>
      <c r="D35" s="13">
        <v>100</v>
      </c>
      <c r="E35" s="15" t="s">
        <v>89</v>
      </c>
      <c r="F35" s="10">
        <v>20</v>
      </c>
      <c r="G35" s="10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93ECC-9102-43E2-AE7A-3D4D912352AC}">
  <dimension ref="A1:K35"/>
  <sheetViews>
    <sheetView tabSelected="1" zoomScale="132" workbookViewId="0">
      <selection activeCell="K14" sqref="K14"/>
    </sheetView>
  </sheetViews>
  <sheetFormatPr defaultRowHeight="14.4" x14ac:dyDescent="0.3"/>
  <cols>
    <col min="1" max="1" width="11.5546875" customWidth="1"/>
    <col min="2" max="2" width="14.5546875" customWidth="1"/>
    <col min="3" max="3" width="12.88671875" customWidth="1"/>
    <col min="4" max="4" width="9.77734375" customWidth="1"/>
    <col min="5" max="5" width="12.44140625" customWidth="1"/>
    <col min="6" max="6" width="9.88671875" customWidth="1"/>
    <col min="7" max="7" width="14.5546875" customWidth="1"/>
    <col min="10" max="10" width="12" customWidth="1"/>
  </cols>
  <sheetData>
    <row r="1" spans="1:11" x14ac:dyDescent="0.3">
      <c r="A1" s="3" t="s">
        <v>1</v>
      </c>
      <c r="B1" s="7" t="s">
        <v>33</v>
      </c>
      <c r="C1" s="7" t="s">
        <v>55</v>
      </c>
      <c r="D1" s="7" t="s">
        <v>86</v>
      </c>
      <c r="E1" s="7" t="s">
        <v>87</v>
      </c>
      <c r="F1" s="7" t="s">
        <v>90</v>
      </c>
      <c r="G1" s="16" t="s">
        <v>91</v>
      </c>
      <c r="H1" s="7" t="s">
        <v>97</v>
      </c>
    </row>
    <row r="2" spans="1:11" x14ac:dyDescent="0.3">
      <c r="A2" s="4" t="s">
        <v>6</v>
      </c>
      <c r="B2" s="8" t="s">
        <v>38</v>
      </c>
      <c r="C2" s="8" t="s">
        <v>60</v>
      </c>
      <c r="D2" s="11">
        <v>70</v>
      </c>
      <c r="E2" s="8" t="s">
        <v>89</v>
      </c>
      <c r="F2" s="8">
        <v>20</v>
      </c>
      <c r="G2" s="17" t="s">
        <v>95</v>
      </c>
      <c r="H2" s="25">
        <f>AVERAGE(D2:D35)</f>
        <v>297.05882352941177</v>
      </c>
      <c r="J2" s="24" t="s">
        <v>103</v>
      </c>
      <c r="K2" s="24"/>
    </row>
    <row r="3" spans="1:11" x14ac:dyDescent="0.3">
      <c r="A3" s="5" t="s">
        <v>9</v>
      </c>
      <c r="B3" s="9" t="s">
        <v>41</v>
      </c>
      <c r="C3" s="9" t="s">
        <v>63</v>
      </c>
      <c r="D3" s="12">
        <v>90</v>
      </c>
      <c r="E3" s="8" t="s">
        <v>89</v>
      </c>
      <c r="F3" s="9">
        <v>35</v>
      </c>
      <c r="G3" s="18" t="s">
        <v>94</v>
      </c>
      <c r="H3" t="s">
        <v>98</v>
      </c>
      <c r="J3" s="20" t="s">
        <v>98</v>
      </c>
      <c r="K3" s="26">
        <v>297</v>
      </c>
    </row>
    <row r="4" spans="1:11" x14ac:dyDescent="0.3">
      <c r="A4" s="4" t="s">
        <v>27</v>
      </c>
      <c r="B4" s="8" t="s">
        <v>41</v>
      </c>
      <c r="C4" s="8" t="s">
        <v>80</v>
      </c>
      <c r="D4" s="11">
        <v>400</v>
      </c>
      <c r="E4" s="8" t="s">
        <v>89</v>
      </c>
      <c r="F4" s="8">
        <v>40</v>
      </c>
      <c r="G4" s="17" t="s">
        <v>94</v>
      </c>
      <c r="J4" s="21" t="s">
        <v>99</v>
      </c>
      <c r="K4" s="20">
        <v>30</v>
      </c>
    </row>
    <row r="5" spans="1:11" x14ac:dyDescent="0.3">
      <c r="A5" s="4" t="s">
        <v>22</v>
      </c>
      <c r="B5" s="8" t="s">
        <v>48</v>
      </c>
      <c r="C5" s="8" t="s">
        <v>75</v>
      </c>
      <c r="D5" s="11">
        <v>700</v>
      </c>
      <c r="E5" s="8" t="s">
        <v>88</v>
      </c>
      <c r="F5" s="8">
        <v>50</v>
      </c>
      <c r="G5" s="17" t="s">
        <v>92</v>
      </c>
      <c r="H5">
        <f>MIN(D2:D35)</f>
        <v>30</v>
      </c>
      <c r="J5" s="20" t="s">
        <v>100</v>
      </c>
      <c r="K5" s="20">
        <v>1000</v>
      </c>
    </row>
    <row r="6" spans="1:11" x14ac:dyDescent="0.3">
      <c r="A6" s="5" t="s">
        <v>21</v>
      </c>
      <c r="B6" s="9" t="s">
        <v>47</v>
      </c>
      <c r="C6" s="9" t="s">
        <v>74</v>
      </c>
      <c r="D6" s="12">
        <v>200</v>
      </c>
      <c r="E6" s="8" t="s">
        <v>89</v>
      </c>
      <c r="F6" s="9">
        <v>10</v>
      </c>
      <c r="G6" s="18" t="s">
        <v>95</v>
      </c>
      <c r="H6" t="s">
        <v>99</v>
      </c>
      <c r="J6" s="21" t="s">
        <v>102</v>
      </c>
      <c r="K6" s="20">
        <v>34</v>
      </c>
    </row>
    <row r="7" spans="1:11" x14ac:dyDescent="0.3">
      <c r="A7" s="4" t="s">
        <v>4</v>
      </c>
      <c r="B7" s="8" t="s">
        <v>36</v>
      </c>
      <c r="C7" s="8" t="s">
        <v>58</v>
      </c>
      <c r="D7" s="11">
        <v>130</v>
      </c>
      <c r="E7" s="8" t="s">
        <v>89</v>
      </c>
      <c r="F7" s="8">
        <v>40</v>
      </c>
      <c r="G7" s="17" t="s">
        <v>94</v>
      </c>
    </row>
    <row r="8" spans="1:11" x14ac:dyDescent="0.3">
      <c r="A8" s="4" t="s">
        <v>14</v>
      </c>
      <c r="B8" s="8" t="s">
        <v>36</v>
      </c>
      <c r="C8" s="8" t="s">
        <v>67</v>
      </c>
      <c r="D8" s="11">
        <v>120</v>
      </c>
      <c r="E8" s="8" t="s">
        <v>89</v>
      </c>
      <c r="F8" s="8">
        <v>35</v>
      </c>
      <c r="G8" s="17" t="s">
        <v>94</v>
      </c>
      <c r="H8">
        <f>MAX(D2:D35)</f>
        <v>1000</v>
      </c>
    </row>
    <row r="9" spans="1:11" x14ac:dyDescent="0.3">
      <c r="A9" s="4" t="s">
        <v>28</v>
      </c>
      <c r="B9" s="8" t="s">
        <v>51</v>
      </c>
      <c r="C9" s="8" t="s">
        <v>81</v>
      </c>
      <c r="D9" s="11">
        <v>60</v>
      </c>
      <c r="E9" s="8" t="s">
        <v>89</v>
      </c>
      <c r="F9" s="8">
        <v>30</v>
      </c>
      <c r="G9" s="17" t="s">
        <v>93</v>
      </c>
      <c r="H9" t="s">
        <v>100</v>
      </c>
    </row>
    <row r="10" spans="1:11" x14ac:dyDescent="0.3">
      <c r="A10" s="4" t="s">
        <v>24</v>
      </c>
      <c r="B10" s="8" t="s">
        <v>50</v>
      </c>
      <c r="C10" s="8" t="s">
        <v>77</v>
      </c>
      <c r="D10" s="11">
        <v>150</v>
      </c>
      <c r="E10" s="8" t="s">
        <v>89</v>
      </c>
      <c r="F10" s="8">
        <v>30</v>
      </c>
      <c r="G10" s="17" t="s">
        <v>92</v>
      </c>
    </row>
    <row r="11" spans="1:11" x14ac:dyDescent="0.3">
      <c r="A11" s="4" t="s">
        <v>30</v>
      </c>
      <c r="B11" s="8" t="s">
        <v>50</v>
      </c>
      <c r="C11" s="8" t="s">
        <v>83</v>
      </c>
      <c r="D11" s="11">
        <v>130</v>
      </c>
      <c r="E11" s="8" t="s">
        <v>89</v>
      </c>
      <c r="F11" s="8">
        <v>5</v>
      </c>
      <c r="G11" s="17" t="s">
        <v>92</v>
      </c>
      <c r="H11">
        <f>COUNT(D2:D35)</f>
        <v>34</v>
      </c>
    </row>
    <row r="12" spans="1:11" x14ac:dyDescent="0.3">
      <c r="A12" s="5" t="s">
        <v>7</v>
      </c>
      <c r="B12" s="9" t="s">
        <v>39</v>
      </c>
      <c r="C12" s="9" t="s">
        <v>61</v>
      </c>
      <c r="D12" s="12">
        <v>200</v>
      </c>
      <c r="E12" s="8" t="s">
        <v>89</v>
      </c>
      <c r="F12" s="9">
        <v>45</v>
      </c>
      <c r="G12" s="18" t="s">
        <v>92</v>
      </c>
      <c r="H12" t="s">
        <v>101</v>
      </c>
    </row>
    <row r="13" spans="1:11" x14ac:dyDescent="0.3">
      <c r="A13" s="4" t="s">
        <v>16</v>
      </c>
      <c r="B13" s="8" t="s">
        <v>39</v>
      </c>
      <c r="C13" s="8" t="s">
        <v>69</v>
      </c>
      <c r="D13" s="11">
        <v>250</v>
      </c>
      <c r="E13" s="8" t="s">
        <v>89</v>
      </c>
      <c r="F13" s="8">
        <v>20</v>
      </c>
      <c r="G13" s="17" t="s">
        <v>92</v>
      </c>
    </row>
    <row r="14" spans="1:11" x14ac:dyDescent="0.3">
      <c r="A14" s="5" t="s">
        <v>16</v>
      </c>
      <c r="B14" s="9" t="s">
        <v>39</v>
      </c>
      <c r="C14" s="9" t="s">
        <v>69</v>
      </c>
      <c r="D14" s="12">
        <v>230</v>
      </c>
      <c r="E14" s="8" t="s">
        <v>89</v>
      </c>
      <c r="F14" s="9">
        <v>20</v>
      </c>
      <c r="G14" s="18" t="s">
        <v>92</v>
      </c>
    </row>
    <row r="15" spans="1:11" x14ac:dyDescent="0.3">
      <c r="A15" s="5" t="s">
        <v>11</v>
      </c>
      <c r="B15" s="9" t="s">
        <v>43</v>
      </c>
      <c r="C15" s="9" t="s">
        <v>65</v>
      </c>
      <c r="D15" s="12">
        <v>130</v>
      </c>
      <c r="E15" s="8" t="s">
        <v>89</v>
      </c>
      <c r="F15" s="9">
        <v>10</v>
      </c>
      <c r="G15" s="18" t="s">
        <v>95</v>
      </c>
    </row>
    <row r="16" spans="1:11" x14ac:dyDescent="0.3">
      <c r="A16" s="5" t="s">
        <v>31</v>
      </c>
      <c r="B16" s="9" t="s">
        <v>53</v>
      </c>
      <c r="C16" s="9" t="s">
        <v>84</v>
      </c>
      <c r="D16" s="12">
        <v>50</v>
      </c>
      <c r="E16" s="8" t="s">
        <v>89</v>
      </c>
      <c r="F16" s="9">
        <v>50</v>
      </c>
      <c r="G16" s="18" t="s">
        <v>93</v>
      </c>
    </row>
    <row r="17" spans="1:7" x14ac:dyDescent="0.3">
      <c r="A17" s="4" t="s">
        <v>2</v>
      </c>
      <c r="B17" s="8" t="s">
        <v>34</v>
      </c>
      <c r="C17" s="8" t="s">
        <v>56</v>
      </c>
      <c r="D17" s="11">
        <v>1000</v>
      </c>
      <c r="E17" s="8" t="s">
        <v>88</v>
      </c>
      <c r="F17" s="8">
        <v>30</v>
      </c>
      <c r="G17" s="17" t="s">
        <v>92</v>
      </c>
    </row>
    <row r="18" spans="1:7" x14ac:dyDescent="0.3">
      <c r="A18" s="4" t="s">
        <v>12</v>
      </c>
      <c r="B18" s="8" t="s">
        <v>34</v>
      </c>
      <c r="C18" s="8" t="s">
        <v>66</v>
      </c>
      <c r="D18" s="11">
        <v>950</v>
      </c>
      <c r="E18" s="8" t="s">
        <v>88</v>
      </c>
      <c r="F18" s="8">
        <v>25</v>
      </c>
      <c r="G18" s="17" t="s">
        <v>92</v>
      </c>
    </row>
    <row r="19" spans="1:7" x14ac:dyDescent="0.3">
      <c r="A19" s="5" t="s">
        <v>19</v>
      </c>
      <c r="B19" s="9" t="s">
        <v>34</v>
      </c>
      <c r="C19" s="9" t="s">
        <v>72</v>
      </c>
      <c r="D19" s="12">
        <v>980</v>
      </c>
      <c r="E19" s="8" t="s">
        <v>88</v>
      </c>
      <c r="F19" s="9">
        <v>10</v>
      </c>
      <c r="G19" s="18" t="s">
        <v>92</v>
      </c>
    </row>
    <row r="20" spans="1:7" x14ac:dyDescent="0.3">
      <c r="A20" s="4" t="s">
        <v>12</v>
      </c>
      <c r="B20" s="8" t="s">
        <v>34</v>
      </c>
      <c r="C20" s="8" t="s">
        <v>66</v>
      </c>
      <c r="D20" s="11">
        <v>950</v>
      </c>
      <c r="E20" s="8" t="s">
        <v>88</v>
      </c>
      <c r="F20" s="8">
        <v>25</v>
      </c>
      <c r="G20" s="17" t="s">
        <v>92</v>
      </c>
    </row>
    <row r="21" spans="1:7" x14ac:dyDescent="0.3">
      <c r="A21" s="5" t="s">
        <v>17</v>
      </c>
      <c r="B21" s="9" t="s">
        <v>45</v>
      </c>
      <c r="C21" s="9" t="s">
        <v>70</v>
      </c>
      <c r="D21" s="12">
        <v>50</v>
      </c>
      <c r="E21" s="8" t="s">
        <v>89</v>
      </c>
      <c r="F21" s="9">
        <v>35</v>
      </c>
      <c r="G21" s="18" t="s">
        <v>96</v>
      </c>
    </row>
    <row r="22" spans="1:7" x14ac:dyDescent="0.3">
      <c r="A22" s="5" t="s">
        <v>17</v>
      </c>
      <c r="B22" s="9" t="s">
        <v>45</v>
      </c>
      <c r="C22" s="9" t="s">
        <v>70</v>
      </c>
      <c r="D22" s="12">
        <v>50</v>
      </c>
      <c r="E22" s="8" t="s">
        <v>89</v>
      </c>
      <c r="F22" s="9">
        <v>35</v>
      </c>
      <c r="G22" s="18" t="s">
        <v>96</v>
      </c>
    </row>
    <row r="23" spans="1:7" x14ac:dyDescent="0.3">
      <c r="A23" s="5" t="s">
        <v>23</v>
      </c>
      <c r="B23" s="9" t="s">
        <v>49</v>
      </c>
      <c r="C23" s="9" t="s">
        <v>76</v>
      </c>
      <c r="D23" s="12">
        <v>80</v>
      </c>
      <c r="E23" s="8" t="s">
        <v>89</v>
      </c>
      <c r="F23" s="9">
        <v>20</v>
      </c>
      <c r="G23" s="18" t="s">
        <v>94</v>
      </c>
    </row>
    <row r="24" spans="1:7" x14ac:dyDescent="0.3">
      <c r="A24" s="5" t="s">
        <v>5</v>
      </c>
      <c r="B24" s="9" t="s">
        <v>37</v>
      </c>
      <c r="C24" s="9" t="s">
        <v>59</v>
      </c>
      <c r="D24" s="12">
        <v>900</v>
      </c>
      <c r="E24" s="8" t="s">
        <v>88</v>
      </c>
      <c r="F24" s="9">
        <v>25</v>
      </c>
      <c r="G24" s="18" t="s">
        <v>92</v>
      </c>
    </row>
    <row r="25" spans="1:7" x14ac:dyDescent="0.3">
      <c r="A25" s="4" t="s">
        <v>25</v>
      </c>
      <c r="B25" s="8" t="s">
        <v>37</v>
      </c>
      <c r="C25" s="8" t="s">
        <v>78</v>
      </c>
      <c r="D25" s="11">
        <v>800</v>
      </c>
      <c r="E25" s="8" t="s">
        <v>88</v>
      </c>
      <c r="F25" s="8">
        <v>45</v>
      </c>
      <c r="G25" s="17" t="s">
        <v>92</v>
      </c>
    </row>
    <row r="26" spans="1:7" x14ac:dyDescent="0.3">
      <c r="A26" s="5" t="s">
        <v>15</v>
      </c>
      <c r="B26" s="9" t="s">
        <v>44</v>
      </c>
      <c r="C26" s="9" t="s">
        <v>68</v>
      </c>
      <c r="D26" s="12">
        <v>150</v>
      </c>
      <c r="E26" s="8" t="s">
        <v>89</v>
      </c>
      <c r="F26" s="9">
        <v>15</v>
      </c>
      <c r="G26" s="18" t="s">
        <v>92</v>
      </c>
    </row>
    <row r="27" spans="1:7" x14ac:dyDescent="0.3">
      <c r="A27" s="4" t="s">
        <v>18</v>
      </c>
      <c r="B27" s="8" t="s">
        <v>44</v>
      </c>
      <c r="C27" s="8" t="s">
        <v>71</v>
      </c>
      <c r="D27" s="11">
        <v>160</v>
      </c>
      <c r="E27" s="8" t="s">
        <v>89</v>
      </c>
      <c r="F27" s="8">
        <v>15</v>
      </c>
      <c r="G27" s="17" t="s">
        <v>92</v>
      </c>
    </row>
    <row r="28" spans="1:7" x14ac:dyDescent="0.3">
      <c r="A28" s="5" t="s">
        <v>3</v>
      </c>
      <c r="B28" s="9" t="s">
        <v>35</v>
      </c>
      <c r="C28" s="9" t="s">
        <v>57</v>
      </c>
      <c r="D28" s="12">
        <v>80</v>
      </c>
      <c r="E28" s="8" t="s">
        <v>89</v>
      </c>
      <c r="F28" s="9">
        <v>15</v>
      </c>
      <c r="G28" s="18" t="s">
        <v>93</v>
      </c>
    </row>
    <row r="29" spans="1:7" x14ac:dyDescent="0.3">
      <c r="A29" s="5" t="s">
        <v>13</v>
      </c>
      <c r="B29" s="9" t="s">
        <v>35</v>
      </c>
      <c r="C29" s="9" t="s">
        <v>62</v>
      </c>
      <c r="D29" s="12">
        <v>90</v>
      </c>
      <c r="E29" s="8" t="s">
        <v>89</v>
      </c>
      <c r="F29" s="9">
        <v>40</v>
      </c>
      <c r="G29" s="18" t="s">
        <v>93</v>
      </c>
    </row>
    <row r="30" spans="1:7" x14ac:dyDescent="0.3">
      <c r="A30" s="4" t="s">
        <v>20</v>
      </c>
      <c r="B30" s="8" t="s">
        <v>46</v>
      </c>
      <c r="C30" s="8" t="s">
        <v>73</v>
      </c>
      <c r="D30" s="11">
        <v>150</v>
      </c>
      <c r="E30" s="8" t="s">
        <v>89</v>
      </c>
      <c r="F30" s="8">
        <v>15</v>
      </c>
      <c r="G30" s="17" t="s">
        <v>93</v>
      </c>
    </row>
    <row r="31" spans="1:7" x14ac:dyDescent="0.3">
      <c r="A31" s="5" t="s">
        <v>26</v>
      </c>
      <c r="B31" s="9" t="s">
        <v>46</v>
      </c>
      <c r="C31" s="9" t="s">
        <v>79</v>
      </c>
      <c r="D31" s="12">
        <v>130</v>
      </c>
      <c r="E31" s="8" t="s">
        <v>89</v>
      </c>
      <c r="F31" s="9">
        <v>25</v>
      </c>
      <c r="G31" s="18" t="s">
        <v>93</v>
      </c>
    </row>
    <row r="32" spans="1:7" x14ac:dyDescent="0.3">
      <c r="A32" s="4" t="s">
        <v>10</v>
      </c>
      <c r="B32" s="8" t="s">
        <v>42</v>
      </c>
      <c r="C32" s="8" t="s">
        <v>64</v>
      </c>
      <c r="D32" s="11">
        <v>500</v>
      </c>
      <c r="E32" s="8" t="s">
        <v>88</v>
      </c>
      <c r="F32" s="8">
        <v>50</v>
      </c>
      <c r="G32" s="17" t="s">
        <v>92</v>
      </c>
    </row>
    <row r="33" spans="1:7" x14ac:dyDescent="0.3">
      <c r="A33" s="5" t="s">
        <v>29</v>
      </c>
      <c r="B33" s="9" t="s">
        <v>52</v>
      </c>
      <c r="C33" s="9" t="s">
        <v>82</v>
      </c>
      <c r="D33" s="12">
        <v>40</v>
      </c>
      <c r="E33" s="8" t="s">
        <v>89</v>
      </c>
      <c r="F33" s="9">
        <v>10</v>
      </c>
      <c r="G33" s="18" t="s">
        <v>94</v>
      </c>
    </row>
    <row r="34" spans="1:7" x14ac:dyDescent="0.3">
      <c r="A34" s="4" t="s">
        <v>8</v>
      </c>
      <c r="B34" s="8" t="s">
        <v>40</v>
      </c>
      <c r="C34" s="8" t="s">
        <v>62</v>
      </c>
      <c r="D34" s="11">
        <v>30</v>
      </c>
      <c r="E34" s="8" t="s">
        <v>89</v>
      </c>
      <c r="F34" s="8">
        <v>5</v>
      </c>
      <c r="G34" s="17" t="s">
        <v>93</v>
      </c>
    </row>
    <row r="35" spans="1:7" x14ac:dyDescent="0.3">
      <c r="A35" s="6" t="s">
        <v>32</v>
      </c>
      <c r="B35" s="10" t="s">
        <v>54</v>
      </c>
      <c r="C35" s="10" t="s">
        <v>85</v>
      </c>
      <c r="D35" s="13">
        <v>100</v>
      </c>
      <c r="E35" s="15" t="s">
        <v>89</v>
      </c>
      <c r="F35" s="10">
        <v>20</v>
      </c>
      <c r="G35" s="19" t="s">
        <v>96</v>
      </c>
    </row>
  </sheetData>
  <mergeCells count="1">
    <mergeCell ref="J2:K2"/>
  </mergeCells>
  <phoneticPr fontId="4" type="noConversion"/>
  <conditionalFormatting sqref="D1:D104857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{E3ADA495-22F6-486C-BCA2-185FB3EE34F0}</x14:id>
        </ext>
      </extLst>
    </cfRule>
  </conditionalFormatting>
  <conditionalFormatting sqref="F1:F1048576">
    <cfRule type="iconSet" priority="1">
      <iconSet iconSet="4RedToBlack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ADA495-22F6-486C-BCA2-185FB3EE34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4358F-AB05-4A18-8E97-62EB00ACB67C}">
  <dimension ref="F4:F7"/>
  <sheetViews>
    <sheetView workbookViewId="0">
      <selection activeCell="F4" sqref="F4"/>
    </sheetView>
  </sheetViews>
  <sheetFormatPr defaultRowHeight="14.4" x14ac:dyDescent="0.3"/>
  <cols>
    <col min="6" max="6" width="37.6640625" customWidth="1"/>
    <col min="8" max="9" width="8.88671875" customWidth="1"/>
  </cols>
  <sheetData>
    <row r="4" spans="6:6" ht="51.6" customHeight="1" x14ac:dyDescent="0.3">
      <c r="F4" s="23" t="s">
        <v>0</v>
      </c>
    </row>
    <row r="5" spans="6:6" ht="17.399999999999999" x14ac:dyDescent="0.3">
      <c r="F5" s="2"/>
    </row>
    <row r="6" spans="6:6" x14ac:dyDescent="0.3">
      <c r="F6" s="1"/>
    </row>
    <row r="7" spans="6:6" ht="72" x14ac:dyDescent="0.35">
      <c r="F7" s="22" t="s">
        <v>104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D71742-DE33-47C5-9CA8-22F651F800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 valli</dc:creator>
  <cp:lastModifiedBy>Mohana valli</cp:lastModifiedBy>
  <dcterms:created xsi:type="dcterms:W3CDTF">2025-11-19T09:31:35Z</dcterms:created>
  <dcterms:modified xsi:type="dcterms:W3CDTF">2025-11-19T16:21:34Z</dcterms:modified>
</cp:coreProperties>
</file>