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Excel Daily Task\"/>
    </mc:Choice>
  </mc:AlternateContent>
  <xr:revisionPtr revIDLastSave="0" documentId="13_ncr:1_{0E0F13B1-255D-4670-92FB-1EB101B8CE8A}" xr6:coauthVersionLast="47" xr6:coauthVersionMax="47" xr10:uidLastSave="{00000000-0000-0000-0000-000000000000}"/>
  <bookViews>
    <workbookView xWindow="-108" yWindow="-108" windowWidth="23256" windowHeight="12456" tabRatio="712" activeTab="6" xr2:uid="{751495AD-E279-4E16-8594-0FDAC1E57FD6}"/>
  </bookViews>
  <sheets>
    <sheet name="Customer_ID" sheetId="1" r:id="rId1"/>
    <sheet name="Product_ID" sheetId="7" r:id="rId2"/>
    <sheet name="Store_ID" sheetId="8" r:id="rId3"/>
    <sheet name="Transaction_ID" sheetId="9" r:id="rId4"/>
    <sheet name="Pivot" sheetId="6" r:id="rId5"/>
    <sheet name="charts" sheetId="10" r:id="rId6"/>
    <sheet name="Dashboard" sheetId="11" r:id="rId7"/>
  </sheets>
  <definedNames>
    <definedName name="_xlcn.WorksheetConnection_Book1.xlsxCustomer_ID" hidden="1">Customer_ID[]</definedName>
    <definedName name="_xlcn.WorksheetConnection_Book1.xlsxProduct_ID" hidden="1">Product_ID[]</definedName>
    <definedName name="_xlcn.WorksheetConnection_Book1.xlsxStore_ID" hidden="1">Store_ID[]</definedName>
    <definedName name="_xlcn.WorksheetConnection_Book1.xlsxTransaction_ID" hidden="1">Transaction_ID[]</definedName>
    <definedName name="ExternalData_1" localSheetId="0" hidden="1">'Customer_ID'!$A$1:$H$501</definedName>
    <definedName name="ExternalData_1" localSheetId="1" hidden="1">Product_ID!$A$1:$G$101</definedName>
    <definedName name="ExternalData_1" localSheetId="2" hidden="1">Store_ID!$A$1:$E$21</definedName>
    <definedName name="Slicer_Category">#N/A</definedName>
    <definedName name="Slicer_City">#N/A</definedName>
    <definedName name="Slicer_Gender">#N/A</definedName>
    <definedName name="Slicer_Product_Name">#N/A</definedName>
    <definedName name="Slicer_Region">#N/A</definedName>
    <definedName name="Slicer_Store_Nam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s>
  <extLst>
    <ext xmlns:x14="http://schemas.microsoft.com/office/spreadsheetml/2009/9/main" uri="{876F7934-8845-4945-9796-88D515C7AA90}">
      <x14:pivotCaches>
        <pivotCache cacheId="16"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_ID" name="Transaction_ID" connection="WorksheetConnection_Book1.xlsx!Transaction_ID"/>
          <x15:modelTable id="Store_ID" name="Store_ID" connection="WorksheetConnection_Book1.xlsx!Store_ID"/>
          <x15:modelTable id="Product_ID" name="Product_ID" connection="WorksheetConnection_Book1.xlsx!Product_ID"/>
          <x15:modelTable id="Customer_ID" name="Customer_ID" connection="WorksheetConnection_Book1.xlsx!Customer_ID"/>
        </x15:modelTables>
        <x15:modelRelationships>
          <x15:modelRelationship fromTable="Transaction_ID" fromColumn="Customer_ID" toTable="Customer_ID" toColumn="Customer_ID"/>
          <x15:modelRelationship fromTable="Transaction_ID" fromColumn="Product_ID" toTable="Product_ID" toColumn="Product_ID"/>
          <x15:modelRelationship fromTable="Transaction_ID" fromColumn="Store_ID" toTable="Store_ID"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6" l="1"/>
  <c r="I8" i="6"/>
  <c r="I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7A5432-EDE3-4D6E-BF64-9326CDC16EAC}"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2" xr16:uid="{3C04EEC3-920B-48B7-B448-755ABB8E7469}"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5AA38836-5969-4368-9365-F00A549935DF}"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4" xr16:uid="{C19D72EC-B29E-48DF-BE23-391FF33D7427}" keepAlive="1" name="Query - Table5 (2)" description="Connection to the 'Table5 (2)' query in the workbook." type="5" refreshedVersion="8" background="1" saveData="1">
    <dbPr connection="Provider=Microsoft.Mashup.OleDb.1;Data Source=$Workbook$;Location=&quot;Table5 (2)&quot;;Extended Properties=&quot;&quot;" command="SELECT * FROM [Table5 (2)]"/>
  </connection>
  <connection id="5" xr16:uid="{494925B3-1716-429F-8D45-38464B0E53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B32199D-A69C-4444-B165-B4B648954A2C}" name="WorksheetConnection_Book1.xlsx!Customer_ID" type="102" refreshedVersion="8" minRefreshableVersion="5">
    <extLst>
      <ext xmlns:x15="http://schemas.microsoft.com/office/spreadsheetml/2010/11/main" uri="{DE250136-89BD-433C-8126-D09CA5730AF9}">
        <x15:connection id="Customer_ID" autoDelete="1">
          <x15:rangePr sourceName="_xlcn.WorksheetConnection_Book1.xlsxCustomer_ID"/>
        </x15:connection>
      </ext>
    </extLst>
  </connection>
  <connection id="7" xr16:uid="{95EEDC56-2043-41D4-89BB-12D0236B3B87}" name="WorksheetConnection_Book1.xlsx!Product_ID" type="102" refreshedVersion="8" minRefreshableVersion="5">
    <extLst>
      <ext xmlns:x15="http://schemas.microsoft.com/office/spreadsheetml/2010/11/main" uri="{DE250136-89BD-433C-8126-D09CA5730AF9}">
        <x15:connection id="Product_ID" autoDelete="1">
          <x15:rangePr sourceName="_xlcn.WorksheetConnection_Book1.xlsxProduct_ID"/>
        </x15:connection>
      </ext>
    </extLst>
  </connection>
  <connection id="8" xr16:uid="{9C4914FC-1A18-471E-9930-6C380B265C2E}" name="WorksheetConnection_Book1.xlsx!Store_ID" type="102" refreshedVersion="8" minRefreshableVersion="5">
    <extLst>
      <ext xmlns:x15="http://schemas.microsoft.com/office/spreadsheetml/2010/11/main" uri="{DE250136-89BD-433C-8126-D09CA5730AF9}">
        <x15:connection id="Store_ID" autoDelete="1">
          <x15:rangePr sourceName="_xlcn.WorksheetConnection_Book1.xlsxStore_ID"/>
        </x15:connection>
      </ext>
    </extLst>
  </connection>
  <connection id="9" xr16:uid="{1374C3AF-1C87-4F07-8DC6-AB21910E91F8}" name="WorksheetConnection_Book1.xlsx!Transaction_ID" type="102" refreshedVersion="8" minRefreshableVersion="5">
    <extLst>
      <ext xmlns:x15="http://schemas.microsoft.com/office/spreadsheetml/2010/11/main" uri="{DE250136-89BD-433C-8126-D09CA5730AF9}">
        <x15:connection id="Transaction_ID" autoDelete="1">
          <x15:rangePr sourceName="_xlcn.WorksheetConnection_Book1.xlsxTransaction_ID"/>
        </x15:connection>
      </ext>
    </extLst>
  </connection>
</connections>
</file>

<file path=xl/sharedStrings.xml><?xml version="1.0" encoding="utf-8"?>
<sst xmlns="http://schemas.openxmlformats.org/spreadsheetml/2006/main" count="5098" uniqueCount="2166">
  <si>
    <t>Customer_ID</t>
  </si>
  <si>
    <t>Name</t>
  </si>
  <si>
    <t>Age</t>
  </si>
  <si>
    <t>Gender</t>
  </si>
  <si>
    <t>City</t>
  </si>
  <si>
    <t>State</t>
  </si>
  <si>
    <t>Country</t>
  </si>
  <si>
    <t>Loyalty_Level</t>
  </si>
  <si>
    <t>CUST1000</t>
  </si>
  <si>
    <t>Sheena Bonilla</t>
  </si>
  <si>
    <t>Male</t>
  </si>
  <si>
    <t>Donaldton</t>
  </si>
  <si>
    <t>North Carolina</t>
  </si>
  <si>
    <t>United States of America</t>
  </si>
  <si>
    <t>Platinum</t>
  </si>
  <si>
    <t>CUST1001</t>
  </si>
  <si>
    <t>Eugene Nelson</t>
  </si>
  <si>
    <t>Female</t>
  </si>
  <si>
    <t>Phillipsmouth</t>
  </si>
  <si>
    <t>North Dakota</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</si>
  <si>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</si>
  <si>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</si>
  <si>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</si>
  <si>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</si>
  <si>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</si>
  <si>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</si>
  <si>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</si>
  <si>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</si>
  <si>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</si>
  <si>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</si>
  <si>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</si>
  <si>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</si>
  <si>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</si>
  <si>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</si>
  <si>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</si>
  <si>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</si>
  <si>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</si>
  <si>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</si>
  <si>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</si>
  <si>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</si>
  <si>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</si>
  <si>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</si>
  <si>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</si>
  <si>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</si>
  <si>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</si>
  <si>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</si>
  <si>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</si>
  <si>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</si>
  <si>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</si>
  <si>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</si>
  <si>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</si>
  <si>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</si>
  <si>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</si>
  <si>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</si>
  <si>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</si>
  <si>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</si>
  <si>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</si>
  <si>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</si>
  <si>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</si>
  <si>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</si>
  <si>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</si>
  <si>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</si>
  <si>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</si>
  <si>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</si>
  <si>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</si>
  <si>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</si>
  <si>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</si>
  <si>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</si>
  <si>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</si>
  <si>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</si>
  <si>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</si>
  <si>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</si>
  <si>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</si>
  <si>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</si>
  <si>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</si>
  <si>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</si>
  <si>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</si>
  <si>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</si>
  <si>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</si>
  <si>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</si>
  <si>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</si>
  <si>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</si>
  <si>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</si>
  <si>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</si>
  <si>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</si>
  <si>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</si>
  <si>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</si>
  <si>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</si>
  <si>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</si>
  <si>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</si>
  <si>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</si>
  <si>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</si>
  <si>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</si>
  <si>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</si>
  <si>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</si>
  <si>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</si>
  <si>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</si>
  <si>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</si>
  <si>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</si>
  <si>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</si>
  <si>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</si>
  <si>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</si>
  <si>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</si>
  <si>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</si>
  <si>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</si>
  <si>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</si>
  <si>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</si>
  <si>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</si>
  <si>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</si>
  <si>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</si>
  <si>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</si>
  <si>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</si>
  <si>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</si>
  <si>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</si>
  <si>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</si>
  <si>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</si>
  <si>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</si>
  <si>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</si>
  <si>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</si>
  <si>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</si>
  <si>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</si>
  <si>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</si>
  <si>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</si>
  <si>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</si>
  <si>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</si>
  <si>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</si>
  <si>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</si>
  <si>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</si>
  <si>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</si>
  <si>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</si>
  <si>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</si>
  <si>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</si>
  <si>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</si>
  <si>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</si>
  <si>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</si>
  <si>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</si>
  <si>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</si>
  <si>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</si>
  <si>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</si>
  <si>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</si>
  <si>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</si>
  <si>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</si>
  <si>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</si>
  <si>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</si>
  <si>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</si>
  <si>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</si>
  <si>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</si>
  <si>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</si>
  <si>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</si>
  <si>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</si>
  <si>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</si>
  <si>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</si>
  <si>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</si>
  <si>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</si>
  <si>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</si>
  <si>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</si>
  <si>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</si>
  <si>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</si>
  <si>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</si>
  <si>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</si>
  <si>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</si>
  <si>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</si>
  <si>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</si>
  <si>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</si>
  <si>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</si>
  <si>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</si>
  <si>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</si>
  <si>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</si>
  <si>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</si>
  <si>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</si>
  <si>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</si>
  <si>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</si>
  <si>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</si>
  <si>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</si>
  <si>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</si>
  <si>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</si>
  <si>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</si>
  <si>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</si>
  <si>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</si>
  <si>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</si>
  <si>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</si>
  <si>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</si>
  <si>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</si>
  <si>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</si>
  <si>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</si>
  <si>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</si>
  <si>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</si>
  <si>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</si>
  <si>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</si>
  <si>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</si>
  <si>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</si>
  <si>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</si>
  <si>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</si>
  <si>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</si>
  <si>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</si>
  <si>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</si>
  <si>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</si>
  <si>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</si>
  <si>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</si>
  <si>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</si>
  <si>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</si>
  <si>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</si>
  <si>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</si>
  <si>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</si>
  <si>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</si>
  <si>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</si>
  <si>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</si>
  <si>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</si>
  <si>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</si>
  <si>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</si>
  <si>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</si>
  <si>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</si>
  <si>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</si>
  <si>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</si>
  <si>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</si>
  <si>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</si>
  <si>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</si>
  <si>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</si>
  <si>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</si>
  <si>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</si>
  <si>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</si>
  <si>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</si>
  <si>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</si>
  <si>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</si>
  <si>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</si>
  <si>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</si>
  <si>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</si>
  <si>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</si>
  <si>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</si>
  <si>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</si>
  <si>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</si>
  <si>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</si>
  <si>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</si>
  <si>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</si>
  <si>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</si>
  <si>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</si>
  <si>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</si>
  <si>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</si>
  <si>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</si>
  <si>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</si>
  <si>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</si>
  <si>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</si>
  <si>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</si>
  <si>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</si>
  <si>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</si>
  <si>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</si>
  <si>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</si>
  <si>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</si>
  <si>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</si>
  <si>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</si>
  <si>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</si>
  <si>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</si>
  <si>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</si>
  <si>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</si>
  <si>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</si>
  <si>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</si>
  <si>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</si>
  <si>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</si>
  <si>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</si>
  <si>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</si>
  <si>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</si>
  <si>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</si>
  <si>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</si>
  <si>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</si>
  <si>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</si>
  <si>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</si>
  <si>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</si>
  <si>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</si>
  <si>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</si>
  <si>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</si>
  <si>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</si>
  <si>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</si>
  <si>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</si>
  <si>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</si>
  <si>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</si>
  <si>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</si>
  <si>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</si>
  <si>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</si>
  <si>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</si>
  <si>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</si>
  <si>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</si>
  <si>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</si>
  <si>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</si>
  <si>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</si>
  <si>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</si>
  <si>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</si>
  <si>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</si>
  <si>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</si>
  <si>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</si>
  <si>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</si>
  <si>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</si>
  <si>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</si>
  <si>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</si>
  <si>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</si>
  <si>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</si>
  <si>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</si>
  <si>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</si>
  <si>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</si>
  <si>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</si>
  <si>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</si>
  <si>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</si>
  <si>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</si>
  <si>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</si>
  <si>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</si>
  <si>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</si>
  <si>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</si>
  <si>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</si>
  <si>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</si>
  <si>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</si>
  <si>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</si>
  <si>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</si>
  <si>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</si>
  <si>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</si>
  <si>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</si>
  <si>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</si>
  <si>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</si>
  <si>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</si>
  <si>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</si>
  <si>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</si>
  <si>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</si>
  <si>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</si>
  <si>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</si>
  <si>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</si>
  <si>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</si>
  <si>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</si>
  <si>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</si>
  <si>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</si>
  <si>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</si>
  <si>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</si>
  <si>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</si>
  <si>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</si>
  <si>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</si>
  <si>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</si>
  <si>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</si>
  <si>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</si>
  <si>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</si>
  <si>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</si>
  <si>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</si>
  <si>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</si>
  <si>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</si>
  <si>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</si>
  <si>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</si>
  <si>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</si>
  <si>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</si>
  <si>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</si>
  <si>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</si>
  <si>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</si>
  <si>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</si>
  <si>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</si>
  <si>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</si>
  <si>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</si>
  <si>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</si>
  <si>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</si>
  <si>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</si>
  <si>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</si>
  <si>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</si>
  <si>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</si>
  <si>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</si>
  <si>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</si>
  <si>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</si>
  <si>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</si>
  <si>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</si>
  <si>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</si>
  <si>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</si>
  <si>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</si>
  <si>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</si>
  <si>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</si>
  <si>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</si>
  <si>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</si>
  <si>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</si>
  <si>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</si>
  <si>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</si>
  <si>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</si>
  <si>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</si>
  <si>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</si>
  <si>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</si>
  <si>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</si>
  <si>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</si>
  <si>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</si>
  <si>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</si>
  <si>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</si>
  <si>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</si>
  <si>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</si>
  <si>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</si>
  <si>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</si>
  <si>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</si>
  <si>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</si>
  <si>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</si>
  <si>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</si>
  <si>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</si>
  <si>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</si>
  <si>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</si>
  <si>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</si>
  <si>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</si>
  <si>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</si>
  <si>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</si>
  <si>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</si>
  <si>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</si>
  <si>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</si>
  <si>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</si>
  <si>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</si>
  <si>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</si>
  <si>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</si>
  <si>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</si>
  <si>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</si>
  <si>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</si>
  <si>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</si>
  <si>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</si>
  <si>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</si>
  <si>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</si>
  <si>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</si>
  <si>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</si>
  <si>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</si>
  <si>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</si>
  <si>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</si>
  <si>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</si>
  <si>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</si>
  <si>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</si>
  <si>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</si>
  <si>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</si>
  <si>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</si>
  <si>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</si>
  <si>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</si>
  <si>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</si>
  <si>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</si>
  <si>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</si>
  <si>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</si>
  <si>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</si>
  <si>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</si>
  <si>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</si>
  <si>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</si>
  <si>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</si>
  <si>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</si>
  <si>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</si>
  <si>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</si>
  <si>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</si>
  <si>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</si>
  <si>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</si>
  <si>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</si>
  <si>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</si>
  <si>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</si>
  <si>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</si>
  <si>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</si>
  <si>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</si>
  <si>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</si>
  <si>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</si>
  <si>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</si>
  <si>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SUnited States of American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</si>
  <si>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</si>
  <si>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</si>
  <si>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</si>
  <si>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</si>
  <si>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</si>
  <si>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</si>
  <si>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</si>
  <si>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</si>
  <si>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</si>
  <si>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</si>
  <si>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</si>
  <si>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</si>
  <si>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</si>
  <si>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</si>
  <si>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</si>
  <si>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</si>
  <si>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</si>
  <si>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</si>
  <si>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</si>
  <si>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</si>
  <si>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</si>
  <si>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</si>
  <si>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</si>
  <si>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</si>
  <si>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</si>
  <si>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</si>
  <si>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</si>
  <si>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</si>
  <si>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</si>
  <si>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</si>
  <si>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</si>
  <si>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</si>
  <si>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</si>
  <si>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</si>
  <si>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</si>
  <si>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</si>
  <si>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</si>
  <si>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</si>
  <si>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</si>
  <si>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</si>
  <si>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</si>
  <si>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</si>
  <si>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</si>
  <si>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</si>
  <si>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</si>
  <si>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</si>
  <si>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</si>
  <si>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</si>
  <si>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</si>
  <si>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</si>
  <si>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</si>
  <si>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</si>
  <si>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</si>
  <si>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</si>
  <si>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</si>
  <si>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</si>
  <si>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</si>
  <si>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</si>
  <si>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</si>
  <si>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</si>
  <si>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</si>
  <si>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</si>
  <si>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</si>
  <si>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</si>
  <si>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</si>
  <si>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</si>
  <si>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</si>
  <si>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</si>
  <si>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</si>
  <si>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</si>
  <si>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</si>
  <si>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</si>
  <si>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</si>
  <si>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</si>
  <si>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</si>
  <si>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</si>
  <si>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</si>
  <si>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</si>
  <si>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</si>
  <si>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</si>
  <si>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</si>
  <si>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</si>
  <si>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</si>
  <si>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</si>
  <si>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</si>
  <si>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</si>
  <si>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</si>
  <si>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</si>
  <si>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</si>
  <si>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</si>
  <si>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</si>
  <si>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</si>
  <si>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</si>
  <si>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</si>
  <si>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</si>
  <si>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</si>
  <si>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</si>
  <si>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</si>
  <si>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</si>
  <si>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</si>
  <si>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</si>
  <si>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</si>
  <si>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</si>
  <si>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</si>
  <si>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</si>
  <si>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</si>
  <si>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</si>
  <si>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</si>
  <si>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</si>
  <si>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</si>
  <si>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</si>
  <si>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</si>
  <si>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</si>
  <si>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</si>
  <si>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</si>
  <si>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</si>
  <si>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</si>
  <si>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</si>
  <si>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</si>
  <si>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</si>
  <si>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</si>
  <si>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</si>
  <si>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</si>
  <si>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</si>
  <si>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</si>
  <si>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</si>
  <si>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</si>
  <si>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</si>
  <si>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</si>
  <si>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</si>
  <si>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</si>
  <si>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</si>
  <si>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</si>
  <si>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</si>
  <si>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</si>
  <si>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</si>
  <si>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</si>
  <si>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</si>
  <si>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</si>
  <si>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</si>
  <si>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</si>
  <si>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</si>
  <si>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</si>
  <si>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</si>
  <si>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</si>
  <si>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</si>
  <si>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</si>
  <si>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</si>
  <si>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</si>
  <si>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</si>
  <si>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</si>
  <si>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</si>
  <si>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</si>
  <si>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</si>
  <si>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</si>
  <si>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</si>
  <si>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</si>
  <si>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</si>
  <si>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</si>
  <si>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</si>
  <si>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</si>
  <si>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</si>
  <si>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</si>
  <si>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</si>
  <si>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</si>
  <si>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</si>
  <si>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</si>
  <si>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</si>
  <si>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</si>
  <si>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</si>
  <si>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</si>
  <si>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</si>
  <si>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</si>
  <si>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</si>
  <si>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</si>
  <si>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</si>
  <si>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</si>
  <si>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</si>
  <si>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</si>
  <si>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</si>
  <si>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</si>
  <si>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</si>
  <si>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</si>
  <si>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</si>
  <si>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</si>
  <si>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</si>
  <si>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</si>
  <si>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</si>
  <si>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</si>
  <si>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</si>
  <si>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</si>
  <si>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</si>
  <si>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</si>
  <si>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</si>
  <si>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</si>
  <si>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</si>
  <si>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</si>
  <si>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</si>
  <si>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</si>
  <si>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</si>
  <si>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</si>
  <si>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</si>
  <si>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</si>
  <si>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</si>
  <si>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</si>
  <si>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</si>
  <si>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</si>
  <si>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</si>
  <si>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</si>
  <si>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</si>
  <si>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</si>
  <si>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</si>
  <si>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</si>
  <si>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</si>
  <si>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</si>
  <si>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</si>
  <si>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</si>
  <si>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</si>
  <si>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</si>
  <si>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</si>
  <si>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</si>
  <si>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</si>
  <si>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</si>
  <si>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</si>
  <si>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</si>
  <si>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</si>
  <si>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</si>
  <si>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</si>
  <si>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</si>
  <si>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</si>
  <si>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</si>
  <si>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</si>
  <si>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</si>
  <si>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</si>
  <si>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</si>
  <si>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</si>
  <si>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</si>
  <si>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</si>
  <si>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</si>
  <si>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</si>
  <si>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</si>
  <si>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</si>
  <si>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</si>
  <si>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</si>
  <si>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</si>
  <si>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</si>
  <si>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</si>
  <si>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</si>
  <si>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</si>
  <si>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</si>
  <si>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</si>
  <si>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</si>
  <si>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</si>
  <si>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</si>
  <si>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</si>
  <si>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</si>
  <si>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</si>
  <si>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</si>
  <si>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</si>
  <si>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</si>
  <si>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</si>
  <si>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</si>
  <si>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</si>
  <si>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</si>
  <si>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</si>
  <si>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</si>
  <si>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</si>
  <si>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</si>
  <si>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</si>
  <si>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</si>
  <si>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</si>
  <si>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</si>
  <si>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</si>
  <si>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</si>
  <si>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</si>
  <si>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</si>
  <si>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</si>
  <si>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</si>
  <si>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</si>
  <si>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</si>
  <si>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</si>
  <si>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</si>
  <si>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</si>
  <si>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</si>
  <si>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</si>
  <si>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</si>
  <si>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</si>
  <si>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</si>
  <si>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</si>
  <si>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</si>
  <si>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</si>
  <si>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</si>
  <si>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</si>
  <si>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</si>
  <si>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</si>
  <si>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</si>
  <si>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</si>
  <si>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</si>
  <si>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</si>
  <si>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</si>
  <si>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</si>
  <si>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</si>
  <si>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</si>
  <si>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</si>
  <si>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</si>
  <si>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</si>
  <si>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</si>
  <si>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</si>
  <si>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</si>
  <si>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</si>
  <si>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</si>
  <si>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</si>
  <si>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</si>
  <si>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</si>
  <si>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</si>
  <si>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</si>
  <si>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</si>
  <si>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</si>
  <si>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</si>
  <si>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</si>
  <si>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</si>
  <si>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</si>
  <si>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</si>
  <si>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</si>
  <si>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SUnited States of Americanstad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</si>
  <si>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</si>
  <si>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</si>
  <si>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</si>
  <si>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</si>
  <si>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</si>
  <si>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</si>
  <si>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</si>
  <si>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</si>
  <si>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</si>
  <si>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</si>
  <si>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</si>
  <si>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</si>
  <si>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</si>
  <si>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</si>
  <si>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</si>
  <si>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</si>
  <si>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</si>
  <si>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</si>
  <si>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</si>
  <si>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</si>
  <si>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</si>
  <si>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</si>
  <si>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</si>
  <si>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</si>
  <si>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</si>
  <si>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</si>
  <si>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</si>
  <si>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</si>
  <si>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</si>
  <si>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</si>
  <si>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</si>
  <si>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</si>
  <si>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</si>
  <si>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</si>
  <si>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</si>
  <si>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</si>
  <si>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</si>
  <si>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</si>
  <si>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</si>
  <si>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</si>
  <si>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</si>
  <si>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</si>
  <si>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</si>
  <si>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</si>
  <si>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</si>
  <si>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</si>
  <si>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</si>
  <si>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</si>
  <si>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</si>
  <si>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</si>
  <si>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</si>
  <si>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</si>
  <si>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</si>
  <si>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</si>
  <si>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</si>
  <si>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</si>
  <si>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</si>
  <si>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</si>
  <si>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</si>
  <si>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</si>
  <si>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</si>
  <si>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</si>
  <si>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</si>
  <si>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</si>
  <si>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</si>
  <si>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</si>
  <si>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</si>
  <si>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</si>
  <si>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</si>
  <si>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</si>
  <si>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</si>
  <si>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</si>
  <si>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</si>
  <si>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</si>
  <si>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</si>
  <si>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</si>
  <si>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</si>
  <si>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</si>
  <si>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</si>
  <si>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</si>
  <si>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</si>
  <si>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</si>
  <si>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</si>
  <si>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</si>
  <si>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</si>
  <si>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</si>
  <si>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</si>
  <si>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</si>
  <si>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</si>
  <si>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</si>
  <si>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</si>
  <si>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</si>
  <si>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</si>
  <si>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</si>
  <si>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</si>
  <si>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</si>
  <si>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</si>
  <si>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</si>
  <si>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</si>
  <si>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</si>
  <si>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</si>
  <si>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</si>
  <si>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</si>
  <si>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</si>
  <si>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</si>
  <si>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</si>
  <si>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</si>
  <si>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</si>
  <si>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</si>
  <si>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</si>
  <si>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</si>
  <si>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</si>
  <si>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</si>
  <si>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</si>
  <si>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</si>
  <si>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</si>
  <si>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</si>
  <si>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</si>
  <si>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</si>
  <si>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</si>
  <si>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</si>
  <si>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</si>
  <si>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</si>
  <si>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</si>
  <si>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</si>
  <si>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</si>
  <si>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</si>
  <si>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</si>
  <si>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</si>
  <si>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</si>
  <si>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</si>
  <si>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</si>
  <si>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</si>
  <si>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</si>
  <si>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</si>
  <si>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</si>
  <si>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</si>
  <si>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</si>
  <si>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</si>
  <si>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</si>
  <si>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</si>
  <si>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</si>
  <si>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</si>
  <si>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</si>
  <si>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</si>
  <si>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</si>
  <si>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</si>
  <si>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</si>
  <si>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</si>
  <si>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</si>
  <si>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</si>
  <si>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</si>
  <si>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</si>
  <si>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</si>
  <si>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</si>
  <si>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</si>
  <si>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</si>
  <si>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</si>
  <si>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</si>
  <si>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</si>
  <si>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</si>
  <si>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</si>
  <si>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</si>
  <si>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</si>
  <si>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</si>
  <si>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</si>
  <si>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</si>
  <si>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</si>
  <si>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</si>
  <si>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</si>
  <si>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</si>
  <si>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</si>
  <si>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</si>
  <si>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</si>
  <si>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</si>
  <si>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</si>
  <si>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</si>
  <si>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</si>
  <si>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</si>
  <si>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</si>
  <si>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</si>
  <si>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</si>
  <si>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</si>
  <si>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</si>
  <si>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</si>
  <si>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</si>
  <si>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</si>
  <si>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</si>
  <si>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</si>
  <si>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</si>
  <si>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</si>
  <si>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</si>
  <si>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</si>
  <si>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</si>
  <si>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</si>
  <si>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</si>
  <si>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</si>
  <si>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</si>
  <si>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</si>
  <si>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</si>
  <si>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</si>
  <si>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</si>
  <si>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</si>
  <si>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</si>
  <si>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</si>
  <si>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</si>
  <si>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</si>
  <si>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</si>
  <si>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</si>
  <si>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</si>
  <si>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</si>
  <si>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</si>
  <si>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</si>
  <si>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</si>
  <si>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</si>
  <si>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</si>
  <si>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</si>
  <si>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</si>
  <si>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</si>
  <si>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</si>
  <si>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</si>
  <si>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</si>
  <si>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</si>
  <si>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</si>
  <si>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</si>
  <si>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</si>
  <si>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</si>
  <si>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</si>
  <si>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</si>
  <si>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</si>
  <si>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</si>
  <si>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</si>
  <si>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</si>
  <si>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</si>
  <si>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</si>
  <si>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</si>
  <si>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</si>
  <si>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</si>
  <si>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</si>
  <si>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</si>
  <si>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</si>
  <si>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</si>
  <si>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</si>
  <si>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</si>
  <si>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</si>
  <si>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</si>
  <si>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</si>
  <si>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</si>
  <si>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</si>
  <si>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</si>
  <si>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</si>
  <si>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</si>
  <si>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</si>
  <si>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</si>
  <si>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</si>
  <si>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</si>
  <si>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</si>
  <si>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</si>
  <si>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</si>
  <si>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</si>
  <si>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</si>
  <si>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</si>
  <si>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</si>
  <si>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</si>
  <si>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</si>
  <si>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</si>
  <si>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</si>
  <si>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</si>
  <si>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</si>
  <si>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</si>
  <si>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</si>
  <si>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</si>
  <si>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</si>
  <si>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</si>
  <si>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</si>
  <si>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</si>
  <si>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</si>
  <si>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</si>
  <si>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</si>
  <si>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</si>
  <si>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</si>
  <si>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</si>
  <si>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</si>
  <si>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</si>
  <si>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</si>
  <si>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</si>
  <si>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</si>
  <si>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</si>
  <si>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</si>
  <si>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</si>
  <si>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</si>
  <si>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</si>
  <si>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</si>
  <si>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</si>
  <si>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</si>
  <si>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</si>
  <si>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</si>
  <si>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</si>
  <si>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</si>
  <si>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</si>
  <si>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</si>
  <si>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</si>
  <si>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SUnited States of American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</si>
  <si>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</si>
  <si>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</si>
  <si>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</si>
  <si>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</si>
  <si>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</si>
  <si>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</si>
  <si>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</si>
  <si>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</si>
  <si>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</si>
  <si>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</si>
  <si>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</si>
  <si>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</si>
  <si>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</si>
  <si>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</si>
  <si>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</si>
  <si>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</si>
  <si>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</si>
  <si>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</si>
  <si>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</si>
  <si>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</si>
  <si>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</si>
  <si>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</si>
  <si>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</si>
  <si>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</si>
  <si>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</si>
  <si>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</si>
  <si>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</si>
  <si>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</si>
  <si>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</si>
  <si>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</si>
  <si>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</si>
  <si>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</si>
  <si>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</si>
  <si>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</si>
  <si>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</si>
  <si>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</si>
  <si>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</si>
  <si>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</si>
  <si>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</si>
  <si>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</si>
  <si>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</si>
  <si>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</si>
  <si>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</si>
  <si>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</si>
  <si>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</si>
  <si>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</si>
  <si>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</si>
  <si>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</si>
  <si>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</si>
  <si>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</si>
  <si>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</si>
  <si>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</si>
  <si>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</si>
  <si>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</si>
  <si>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</si>
  <si>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</si>
  <si>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</si>
  <si>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</si>
  <si>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</si>
  <si>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</si>
  <si>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</si>
  <si>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</si>
  <si>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</si>
  <si>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</si>
  <si>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</si>
  <si>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</si>
  <si>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</si>
  <si>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</si>
  <si>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</si>
  <si>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</si>
  <si>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</si>
  <si>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</si>
  <si>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</si>
  <si>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</si>
  <si>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</si>
  <si>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</si>
  <si>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</si>
  <si>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</si>
  <si>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</si>
  <si>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</si>
  <si>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</si>
  <si>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</si>
  <si>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</si>
  <si>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</si>
  <si>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</si>
  <si>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</si>
  <si>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</si>
  <si>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</si>
  <si>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</si>
  <si>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</si>
  <si>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</si>
  <si>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</si>
  <si>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</si>
  <si>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</si>
  <si>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</si>
  <si>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</si>
  <si>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</si>
  <si>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</si>
  <si>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</si>
  <si>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</si>
  <si>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</si>
  <si>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</si>
  <si>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</si>
  <si>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</si>
  <si>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</si>
  <si>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</si>
  <si>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</si>
  <si>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</si>
  <si>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</si>
  <si>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</si>
  <si>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</si>
  <si>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</si>
  <si>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</si>
  <si>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</si>
  <si>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</si>
  <si>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</si>
  <si>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</si>
  <si>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</si>
  <si>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</si>
  <si>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</si>
  <si>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</si>
  <si>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</si>
  <si>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</si>
  <si>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</si>
  <si>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</si>
  <si>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</si>
  <si>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</si>
  <si>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</si>
  <si>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</si>
  <si>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</si>
  <si>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</si>
  <si>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</si>
  <si>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</si>
  <si>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</si>
  <si>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</si>
  <si>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</si>
  <si>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</si>
  <si>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</si>
  <si>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</si>
  <si>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</si>
  <si>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</si>
  <si>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</si>
  <si>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</si>
  <si>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</si>
  <si>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</si>
  <si>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</si>
  <si>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</si>
  <si>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</si>
  <si>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</si>
  <si>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</si>
  <si>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</si>
  <si>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</si>
  <si>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</si>
  <si>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</si>
  <si>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</si>
  <si>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</si>
  <si>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</si>
  <si>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</si>
  <si>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</si>
  <si>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</si>
  <si>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</si>
  <si>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</si>
  <si>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</si>
  <si>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</si>
  <si>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</si>
  <si>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</si>
  <si>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</si>
  <si>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</si>
  <si>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</si>
  <si>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</si>
  <si>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</si>
  <si>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</si>
  <si>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</si>
  <si>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</si>
  <si>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</si>
  <si>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</si>
  <si>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</si>
  <si>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</si>
  <si>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</si>
  <si>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</si>
  <si>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</si>
  <si>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</si>
  <si>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</si>
  <si>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</si>
  <si>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</si>
  <si>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</si>
  <si>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</si>
  <si>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</si>
  <si>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</si>
  <si>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</si>
  <si>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</si>
  <si>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</si>
  <si>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</si>
  <si>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</si>
  <si>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</si>
  <si>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</si>
  <si>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</si>
  <si>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</si>
  <si>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</si>
  <si>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</si>
  <si>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</si>
  <si>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</si>
  <si>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</si>
  <si>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</si>
  <si>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</si>
  <si>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</si>
  <si>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</si>
  <si>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</si>
  <si>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</si>
  <si>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</si>
  <si>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</si>
  <si>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</si>
  <si>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</si>
  <si>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</si>
  <si>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</si>
  <si>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</si>
  <si>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</si>
  <si>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</si>
  <si>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</si>
  <si>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</si>
  <si>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</si>
  <si>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</si>
  <si>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</si>
  <si>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</si>
  <si>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</si>
  <si>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</si>
  <si>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</si>
  <si>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</si>
  <si>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</si>
  <si>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</si>
  <si>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</si>
  <si>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</si>
  <si>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</si>
  <si>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</si>
  <si>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</si>
  <si>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</si>
  <si>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</si>
  <si>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</si>
  <si>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</si>
  <si>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</si>
  <si>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</si>
  <si>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</si>
  <si>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</si>
  <si>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</si>
  <si>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</si>
  <si>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</si>
  <si>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</si>
  <si>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</si>
  <si>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</si>
  <si>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</si>
  <si>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</si>
  <si>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</si>
  <si>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</si>
  <si>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</si>
  <si>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</si>
  <si>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</si>
  <si>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</si>
  <si>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</si>
  <si>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</si>
  <si>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</si>
  <si>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</si>
  <si>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</si>
  <si>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</si>
  <si>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</si>
  <si>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</si>
  <si>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</si>
  <si>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</si>
  <si>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</si>
  <si>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</si>
  <si>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</si>
  <si>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</si>
  <si>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</si>
  <si>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</si>
  <si>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</si>
  <si>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</si>
  <si>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</si>
  <si>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</si>
  <si>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</si>
  <si>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</si>
  <si>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</si>
  <si>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</si>
  <si>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</si>
  <si>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</si>
  <si>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</si>
  <si>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</si>
  <si>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</si>
  <si>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</si>
  <si>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</si>
  <si>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</si>
  <si>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</si>
  <si>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</si>
  <si>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</si>
  <si>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</si>
  <si>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</si>
  <si>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</si>
  <si>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</si>
  <si>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</si>
  <si>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</si>
  <si>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</si>
  <si>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</si>
  <si>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</si>
  <si>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</si>
  <si>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</si>
  <si>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</si>
  <si>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</si>
  <si>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</si>
  <si>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</si>
  <si>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</si>
  <si>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</si>
  <si>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</si>
  <si>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</si>
  <si>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</si>
  <si>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</si>
  <si>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</si>
  <si>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</si>
  <si>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</si>
  <si>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</si>
  <si>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</si>
  <si>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</si>
  <si>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</si>
  <si>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</si>
  <si>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</si>
  <si>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</si>
  <si>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</si>
  <si>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</si>
  <si>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</si>
  <si>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</si>
  <si>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</si>
  <si>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</si>
  <si>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</si>
  <si>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</si>
  <si>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</si>
  <si>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</si>
  <si>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</si>
  <si>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</si>
  <si>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</si>
  <si>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</si>
  <si>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</si>
  <si>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</si>
  <si>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</si>
  <si>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</si>
  <si>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</si>
  <si>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</si>
  <si>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</si>
  <si>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</si>
  <si>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</si>
  <si>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</si>
  <si>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</si>
  <si>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</si>
  <si>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</si>
  <si>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</si>
  <si>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</si>
  <si>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</si>
  <si>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</si>
  <si>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</si>
  <si>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</si>
  <si>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</si>
  <si>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</si>
  <si>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</si>
  <si>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</si>
  <si>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</si>
  <si>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</si>
  <si>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</si>
  <si>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</si>
  <si>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</si>
  <si>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</si>
  <si>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</si>
  <si>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</si>
  <si>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</si>
  <si>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</si>
  <si>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</si>
  <si>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</si>
  <si>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</si>
  <si>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</si>
  <si>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</si>
  <si>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</si>
  <si>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</si>
  <si>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</si>
  <si>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</si>
  <si>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</si>
  <si>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</si>
  <si>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</si>
  <si>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</si>
  <si>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</si>
  <si>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</si>
  <si>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</si>
  <si>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</si>
  <si>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</si>
  <si>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</si>
  <si>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</si>
  <si>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</si>
  <si>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</si>
  <si>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</si>
  <si>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</si>
  <si>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</si>
  <si>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</si>
  <si>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</si>
  <si>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</si>
  <si>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</si>
  <si>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</si>
  <si>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</si>
  <si>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</si>
  <si>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</si>
  <si>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</si>
  <si>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</si>
  <si>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</si>
  <si>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</si>
  <si>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</si>
  <si>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</si>
  <si>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</si>
  <si>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</si>
  <si>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</si>
  <si>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</si>
  <si>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</si>
  <si>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</si>
  <si>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</si>
  <si>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</si>
  <si>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</si>
  <si>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</si>
  <si>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</si>
  <si>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</si>
  <si>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</si>
  <si>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</si>
  <si>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</si>
  <si>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</si>
  <si>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</si>
  <si>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</si>
  <si>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</si>
  <si>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</si>
  <si>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</si>
  <si>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</si>
  <si>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</si>
  <si>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</si>
  <si>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</si>
  <si>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</si>
  <si>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</si>
  <si>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</si>
  <si>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</si>
  <si>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</si>
  <si>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</si>
  <si>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</si>
  <si>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</si>
  <si>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</si>
  <si>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</si>
  <si>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</si>
  <si>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</si>
  <si>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</si>
  <si>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</si>
  <si>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</si>
  <si>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</si>
  <si>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</si>
  <si>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</si>
  <si>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</si>
  <si>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</si>
  <si>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</si>
  <si>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</si>
  <si>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</si>
  <si>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</si>
  <si>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</si>
  <si>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</si>
  <si>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</si>
  <si>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</si>
  <si>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</si>
  <si>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</si>
  <si>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</si>
  <si>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</si>
  <si>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</si>
  <si>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</si>
  <si>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</si>
  <si>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</si>
  <si>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PROD0</t>
  </si>
  <si>
    <t>Brother Laser Printer</t>
  </si>
  <si>
    <t>Electronics</t>
  </si>
  <si>
    <t>Computer</t>
  </si>
  <si>
    <t>Hunt Inc</t>
  </si>
  <si>
    <t>PROD1</t>
  </si>
  <si>
    <t>Men's Graphic T-Shirt</t>
  </si>
  <si>
    <t>Clothing</t>
  </si>
  <si>
    <t>Tops</t>
  </si>
  <si>
    <t>Terry-Moore</t>
  </si>
  <si>
    <t>PROD2</t>
  </si>
  <si>
    <t>Women's Casual Hoodie</t>
  </si>
  <si>
    <t>Outerwear</t>
  </si>
  <si>
    <t>Sims Inc</t>
  </si>
  <si>
    <t>P-3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</si>
  <si>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</si>
  <si>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</si>
  <si>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</si>
  <si>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</si>
  <si>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</si>
  <si>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</si>
  <si>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</si>
  <si>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</si>
  <si>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</si>
  <si>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</si>
  <si>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</si>
  <si>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</si>
  <si>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</si>
  <si>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</si>
  <si>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</si>
  <si>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</si>
  <si>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</si>
  <si>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</si>
  <si>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</si>
  <si>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</si>
  <si>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</si>
  <si>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</si>
  <si>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</si>
  <si>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</si>
  <si>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</si>
  <si>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</si>
  <si>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</si>
  <si>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</si>
  <si>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</si>
  <si>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</si>
  <si>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</si>
  <si>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</si>
  <si>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</si>
  <si>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</si>
  <si>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</si>
  <si>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</si>
  <si>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</si>
  <si>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</si>
  <si>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</si>
  <si>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</si>
  <si>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</si>
  <si>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</si>
  <si>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</si>
  <si>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</si>
  <si>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</si>
  <si>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</si>
  <si>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</si>
  <si>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</si>
  <si>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</si>
  <si>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</si>
  <si>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</si>
  <si>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</si>
  <si>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</si>
  <si>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</si>
  <si>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</si>
  <si>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</si>
  <si>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</si>
  <si>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</si>
  <si>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</si>
  <si>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</si>
  <si>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</si>
  <si>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</si>
  <si>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</si>
  <si>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</si>
  <si>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</si>
  <si>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</si>
  <si>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</si>
  <si>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</si>
  <si>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</si>
  <si>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</si>
  <si>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</si>
  <si>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</si>
  <si>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</si>
  <si>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</si>
  <si>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</si>
  <si>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</si>
  <si>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</si>
  <si>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</si>
  <si>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</si>
  <si>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</si>
  <si>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</si>
  <si>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</si>
  <si>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</si>
  <si>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</si>
  <si>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</si>
  <si>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</si>
  <si>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</si>
  <si>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</si>
  <si>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</si>
  <si>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</si>
  <si>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</si>
  <si>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</si>
  <si>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</si>
  <si>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</si>
  <si>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</si>
  <si>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</si>
  <si>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</si>
  <si>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</si>
  <si>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</si>
  <si>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</si>
  <si>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</si>
  <si>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</si>
  <si>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</si>
  <si>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</si>
  <si>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</si>
  <si>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</si>
  <si>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</si>
  <si>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</si>
  <si>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</si>
  <si>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</si>
  <si>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</si>
  <si>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</si>
  <si>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</si>
  <si>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</si>
  <si>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</si>
  <si>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</si>
  <si>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</si>
  <si>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</si>
  <si>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</si>
  <si>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</si>
  <si>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</si>
  <si>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</si>
  <si>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</si>
  <si>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</si>
  <si>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</si>
  <si>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</si>
  <si>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</si>
  <si>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</si>
  <si>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</si>
  <si>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</si>
  <si>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</si>
  <si>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</si>
  <si>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</si>
  <si>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</si>
  <si>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</si>
  <si>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</si>
  <si>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</si>
  <si>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</si>
  <si>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</si>
  <si>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</si>
  <si>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</si>
  <si>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</si>
  <si>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</si>
  <si>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</si>
  <si>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</si>
  <si>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</si>
  <si>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</si>
  <si>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</si>
  <si>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</si>
  <si>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</si>
  <si>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</si>
  <si>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</si>
  <si>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</si>
  <si>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</si>
  <si>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</si>
  <si>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</si>
  <si>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</si>
  <si>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</si>
  <si>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</si>
  <si>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</si>
  <si>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</si>
  <si>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</si>
  <si>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</si>
  <si>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</si>
  <si>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</si>
  <si>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</si>
  <si>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</si>
  <si>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</si>
  <si>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</si>
  <si>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</si>
  <si>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</si>
  <si>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</si>
  <si>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</si>
  <si>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</si>
  <si>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</si>
  <si>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</si>
  <si>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</si>
  <si>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</si>
  <si>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</si>
  <si>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</si>
  <si>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</si>
  <si>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</si>
  <si>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</si>
  <si>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</si>
  <si>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</si>
  <si>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</si>
  <si>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</si>
  <si>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</si>
  <si>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</si>
  <si>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</si>
  <si>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</si>
  <si>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</si>
  <si>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</si>
  <si>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</si>
  <si>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</si>
  <si>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</si>
  <si>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</si>
  <si>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</si>
  <si>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</si>
  <si>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</si>
  <si>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</si>
  <si>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</si>
  <si>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</si>
  <si>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</si>
  <si>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</si>
  <si>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</si>
  <si>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</si>
  <si>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</si>
  <si>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</si>
  <si>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</si>
  <si>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</si>
  <si>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</si>
  <si>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</si>
  <si>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</si>
  <si>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</si>
  <si>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</si>
  <si>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</si>
  <si>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</si>
  <si>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</si>
  <si>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</si>
  <si>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</si>
  <si>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</si>
  <si>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</si>
  <si>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</si>
  <si>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</si>
  <si>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</si>
  <si>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</si>
  <si>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</si>
  <si>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</si>
  <si>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</si>
  <si>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</si>
  <si>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</si>
  <si>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</si>
  <si>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</si>
  <si>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</si>
  <si>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</si>
  <si>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</si>
  <si>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</si>
  <si>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</si>
  <si>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</si>
  <si>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</si>
  <si>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</si>
  <si>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</si>
  <si>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</si>
  <si>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</si>
  <si>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</si>
  <si>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</si>
  <si>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</si>
  <si>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</si>
  <si>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</si>
  <si>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</si>
  <si>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</si>
  <si>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</si>
  <si>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</si>
  <si>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</si>
  <si>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</si>
  <si>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</si>
  <si>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</si>
  <si>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</si>
  <si>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</si>
  <si>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</si>
  <si>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</si>
  <si>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</si>
  <si>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</si>
  <si>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</si>
  <si>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</si>
  <si>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</si>
  <si>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</si>
  <si>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</si>
  <si>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</si>
  <si>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</si>
  <si>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</si>
  <si>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</si>
  <si>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</si>
  <si>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</si>
  <si>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</si>
  <si>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</si>
  <si>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</si>
  <si>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</si>
  <si>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</si>
  <si>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</si>
  <si>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</si>
  <si>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</si>
  <si>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</si>
  <si>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</si>
  <si>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</si>
  <si>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</si>
  <si>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</si>
  <si>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</si>
  <si>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</si>
  <si>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</si>
  <si>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</si>
  <si>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</si>
  <si>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</si>
  <si>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</si>
  <si>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</si>
  <si>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</si>
  <si>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</si>
  <si>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</si>
  <si>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</si>
  <si>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</si>
  <si>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</si>
  <si>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</si>
  <si>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</si>
  <si>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</si>
  <si>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</si>
  <si>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</si>
  <si>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</si>
  <si>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</si>
  <si>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</si>
  <si>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</si>
  <si>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</si>
  <si>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</si>
  <si>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</si>
  <si>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</si>
  <si>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</si>
  <si>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</si>
  <si>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</si>
  <si>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</si>
  <si>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</si>
  <si>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</si>
  <si>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</si>
  <si>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</si>
  <si>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</si>
  <si>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</si>
  <si>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</si>
  <si>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</si>
  <si>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</si>
  <si>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</si>
  <si>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</si>
  <si>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</si>
  <si>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</si>
  <si>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</si>
  <si>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</si>
  <si>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</si>
  <si>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</si>
  <si>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</si>
  <si>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</si>
  <si>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</si>
  <si>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</si>
  <si>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</si>
  <si>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</si>
  <si>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</si>
  <si>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</si>
  <si>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</si>
  <si>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</si>
  <si>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</si>
  <si>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</si>
  <si>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</si>
  <si>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</si>
  <si>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</si>
  <si>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</si>
  <si>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</si>
  <si>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</si>
  <si>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</si>
  <si>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</si>
  <si>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</si>
  <si>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</si>
  <si>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</si>
  <si>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</si>
  <si>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</si>
  <si>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</si>
  <si>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</si>
  <si>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</si>
  <si>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</si>
  <si>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</si>
  <si>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</si>
  <si>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</si>
  <si>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</si>
  <si>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</si>
  <si>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</si>
  <si>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</si>
  <si>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</si>
  <si>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</si>
  <si>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</si>
  <si>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</si>
  <si>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</si>
  <si>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</si>
  <si>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</si>
  <si>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</si>
  <si>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</si>
  <si>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Order_ID</t>
  </si>
  <si>
    <t>Product_ID</t>
  </si>
  <si>
    <t>Quantity</t>
  </si>
  <si>
    <t>Sales</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</si>
  <si>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</si>
  <si>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</si>
  <si>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</si>
  <si>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</si>
  <si>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</si>
  <si>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</si>
  <si>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</si>
  <si>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</si>
  <si>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</si>
  <si>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</si>
  <si>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</si>
  <si>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</si>
  <si>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</si>
  <si>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</si>
  <si>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</si>
  <si>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</si>
  <si>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</si>
  <si>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</si>
  <si>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</si>
  <si>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</si>
  <si>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</si>
  <si>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</si>
  <si>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</si>
  <si>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</si>
  <si>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</si>
  <si>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</si>
  <si>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</si>
  <si>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</si>
  <si>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</si>
  <si>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</si>
  <si>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</si>
  <si>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</si>
  <si>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</si>
  <si>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PROD3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</si>
  <si>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</si>
  <si>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</si>
  <si>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</si>
  <si>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</si>
  <si>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</si>
  <si>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</si>
  <si>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</si>
  <si>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</si>
  <si>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</si>
  <si>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</si>
  <si>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</si>
  <si>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</si>
  <si>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</si>
  <si>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</si>
  <si>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</si>
  <si>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</si>
  <si>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</si>
  <si>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</si>
  <si>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</si>
  <si>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</si>
  <si>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</si>
  <si>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</si>
  <si>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</si>
  <si>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</si>
  <si>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</si>
  <si>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</si>
  <si>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</si>
  <si>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</si>
  <si>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</si>
  <si>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</si>
  <si>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</si>
  <si>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</si>
  <si>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</si>
  <si>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</si>
  <si>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</si>
  <si>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</si>
  <si>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</si>
  <si>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</si>
  <si>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</si>
  <si>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PROD16</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</si>
  <si>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</si>
  <si>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</si>
  <si>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</si>
  <si>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</si>
  <si>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</si>
  <si>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</si>
  <si>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</si>
  <si>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</si>
  <si>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</si>
  <si>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</si>
  <si>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</si>
  <si>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</si>
  <si>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</si>
  <si>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</si>
  <si>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</si>
  <si>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</si>
  <si>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</si>
  <si>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</si>
  <si>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</si>
  <si>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</si>
  <si>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</si>
  <si>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</si>
  <si>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</si>
  <si>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</si>
  <si>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</si>
  <si>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</si>
  <si>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</si>
  <si>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</si>
  <si>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</si>
  <si>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</si>
  <si>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</si>
  <si>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</si>
  <si>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</si>
  <si>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</si>
  <si>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</si>
  <si>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</si>
  <si>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</si>
  <si>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</si>
  <si>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</si>
  <si>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</si>
  <si>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</si>
  <si>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</si>
  <si>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</si>
  <si>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</si>
  <si>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</si>
  <si>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</si>
  <si>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</si>
  <si>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</si>
  <si>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</si>
  <si>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</si>
  <si>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</si>
  <si>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</si>
  <si>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</si>
  <si>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</si>
  <si>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</si>
  <si>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</si>
  <si>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</si>
  <si>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</si>
  <si>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</si>
  <si>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</si>
  <si>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</si>
  <si>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</si>
  <si>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</si>
  <si>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</si>
  <si>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</si>
  <si>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</si>
  <si>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</si>
  <si>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</si>
  <si>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</si>
  <si>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</si>
  <si>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</si>
  <si>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</si>
  <si>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</si>
  <si>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</si>
  <si>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</si>
  <si>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</si>
  <si>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</si>
  <si>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</si>
  <si>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</si>
  <si>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</si>
  <si>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</si>
  <si>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</si>
  <si>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</si>
  <si>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</si>
  <si>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</si>
  <si>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</si>
  <si>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</si>
  <si>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</si>
  <si>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</si>
  <si>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</si>
  <si>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</si>
  <si>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</si>
  <si>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</si>
  <si>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</si>
  <si>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</si>
  <si>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</si>
  <si>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</si>
  <si>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</si>
  <si>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</si>
  <si>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</si>
  <si>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</si>
  <si>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</si>
  <si>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</si>
  <si>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</si>
  <si>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</si>
  <si>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</si>
  <si>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</si>
  <si>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</si>
  <si>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</si>
  <si>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</si>
  <si>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</si>
  <si>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</si>
  <si>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</si>
  <si>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</si>
  <si>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</si>
  <si>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</si>
  <si>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</si>
  <si>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</si>
  <si>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</si>
  <si>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</si>
  <si>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</si>
  <si>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</si>
  <si>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</si>
  <si>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</si>
  <si>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</si>
  <si>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</si>
  <si>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</si>
  <si>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</si>
  <si>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Product_Name</t>
  </si>
  <si>
    <t>Category</t>
  </si>
  <si>
    <t>Sub_Category</t>
  </si>
  <si>
    <t>Brand</t>
  </si>
  <si>
    <t>Cost</t>
  </si>
  <si>
    <t>Stock</t>
  </si>
  <si>
    <t>Row Labels</t>
  </si>
  <si>
    <t>Grand Total</t>
  </si>
  <si>
    <t>Count of Customer_ID</t>
  </si>
  <si>
    <t>Sum of Sales</t>
  </si>
  <si>
    <t>Tot Sales</t>
  </si>
  <si>
    <t>Profit</t>
  </si>
  <si>
    <t>Total Sales</t>
  </si>
  <si>
    <t>Total Customer</t>
  </si>
  <si>
    <t>KPI'S</t>
  </si>
  <si>
    <t>(blank)</t>
  </si>
  <si>
    <t>Total Quantity Sold</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</si>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</sst>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C00000"/>
      <name val="Calibri"/>
      <family val="2"/>
      <scheme val="minor"/>
    </font>
  </fonts>
  <fills count="4">
    <fill>
      <patternFill patternType="none"/>
    </fill>
    <fill>
      <patternFill patternType="gray125"/>
    </fill>
    <fill>
      <patternFill patternType="solid">
        <fgColor theme="9"/>
        <bgColor indexed="64"/>
      </patternFill>
    </fill>
    <fill>
      <patternFill patternType="solid">
        <fgColor theme="9" tint="0.79998168889431442"/>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2" borderId="10" xfId="0" applyFont="1" applyFill="1" applyBorder="1" applyAlignment="1">
      <alignment horizontal="center"/>
    </xf>
    <xf numFmtId="0" fontId="2" fillId="3" borderId="10" xfId="0" applyFont="1" applyFill="1" applyBorder="1"/>
    <xf numFmtId="0" fontId="0" fillId="0" borderId="0" xfId="0" applyAlignment="1">
      <alignment horizontal="left" indent="1"/>
    </xf>
  </cellXfs>
  <cellStyles count="1">
    <cellStyle name="Normal" xfId="0" builtinId="0"/>
  </cellStyles>
  <dxfs count="53">
    <dxf>
      <fill>
        <patternFill>
          <bgColor theme="9" tint="0.79998168889431442"/>
        </patternFill>
      </fill>
    </dxf>
    <dxf>
      <fill>
        <patternFill>
          <bgColor theme="9" tint="0.79998168889431442"/>
        </patternFill>
      </fill>
    </dxf>
    <dxf>
      <fill>
        <patternFill>
          <bgColor theme="9" tint="0.79998168889431442"/>
        </patternFill>
      </fill>
    </dxf>
    <dxf>
      <font>
        <color rgb="FFC00000"/>
      </font>
    </dxf>
    <dxf>
      <font>
        <color rgb="FFC00000"/>
      </font>
    </dxf>
    <dxf>
      <font>
        <color rgb="FFC00000"/>
      </font>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79998168889431442"/>
        </patternFill>
      </fill>
    </dxf>
    <dxf>
      <fill>
        <patternFill>
          <bgColor theme="9" tint="0.79998168889431442"/>
        </patternFill>
      </fill>
    </dxf>
    <dxf>
      <fill>
        <patternFill>
          <bgColor theme="9" tint="0.79998168889431442"/>
        </patternFill>
      </fill>
    </dxf>
    <dxf>
      <font>
        <color rgb="FFC00000"/>
      </font>
    </dxf>
    <dxf>
      <font>
        <color rgb="FFC00000"/>
      </font>
    </dxf>
    <dxf>
      <font>
        <color rgb="FFC00000"/>
      </font>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79998168889431442"/>
        </patternFill>
      </fill>
    </dxf>
    <dxf>
      <fill>
        <patternFill>
          <bgColor theme="9" tint="0.79998168889431442"/>
        </patternFill>
      </fill>
    </dxf>
    <dxf>
      <fill>
        <patternFill>
          <bgColor theme="9" tint="0.79998168889431442"/>
        </patternFill>
      </fill>
    </dxf>
    <dxf>
      <font>
        <color rgb="FFC00000"/>
      </font>
    </dxf>
    <dxf>
      <font>
        <color rgb="FFC00000"/>
      </font>
    </dxf>
    <dxf>
      <font>
        <color rgb="FFC00000"/>
      </font>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2166F"/>
      <color rgb="FFFFFFFF"/>
      <color rgb="FF65A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2.xml"/><Relationship Id="rId21" Type="http://schemas.openxmlformats.org/officeDocument/2006/relationships/pivotCacheDefinition" Target="pivotCache/pivotCacheDefinition14.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connections" Target="connection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4.xml"/><Relationship Id="rId36"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powerPivotData" Target="model/item.data"/><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21.xlsx.xlsx]Pivot!PivotTable1</c:name>
    <c:fmtId val="10"/>
  </c:pivotSource>
  <c:chart>
    <c:title>
      <c:tx>
        <c:rich>
          <a:bodyPr rot="0" spcFirstLastPara="1" vertOverflow="ellipsis" vert="horz" wrap="square" anchor="ctr" anchorCtr="1"/>
          <a:lstStyle/>
          <a:p>
            <a:pPr>
              <a:defRPr sz="1800" b="1" i="0" u="none" strike="noStrike" kern="1200" cap="none" spc="0" baseline="0">
                <a:ln/>
                <a:solidFill>
                  <a:schemeClr val="accent4"/>
                </a:solidFill>
                <a:effectLst/>
                <a:latin typeface="+mn-lt"/>
                <a:ea typeface="+mn-ea"/>
                <a:cs typeface="+mn-cs"/>
              </a:defRPr>
            </a:pPr>
            <a:r>
              <a:rPr lang="en-US" sz="1800" b="1" cap="none" spc="0">
                <a:ln/>
                <a:solidFill>
                  <a:schemeClr val="accent4"/>
                </a:solidFill>
                <a:effectLst/>
              </a:rPr>
              <a:t>Sales by Region</a:t>
            </a:r>
          </a:p>
        </c:rich>
      </c:tx>
      <c:layout>
        <c:manualLayout>
          <c:xMode val="edge"/>
          <c:yMode val="edge"/>
          <c:x val="0.33283333333333331"/>
          <c:y val="0.10083114610673666"/>
        </c:manualLayout>
      </c:layout>
      <c:overlay val="0"/>
      <c:spPr>
        <a:noFill/>
        <a:ln>
          <a:noFill/>
        </a:ln>
        <a:effectLst/>
      </c:spPr>
      <c:txPr>
        <a:bodyPr rot="0" spcFirstLastPara="1" vertOverflow="ellipsis" vert="horz" wrap="square" anchor="ctr" anchorCtr="1"/>
        <a:lstStyle/>
        <a:p>
          <a:pPr>
            <a:defRPr sz="1800" b="1" i="0" u="none" strike="noStrike" kern="1200" cap="none" spc="0" baseline="0">
              <a:ln/>
              <a:solidFill>
                <a:schemeClr val="accent4"/>
              </a:solidFill>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Pivot!$N$10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Pivot!$M$11:$M$15</c:f>
              <c:strCache>
                <c:ptCount val="4"/>
                <c:pt idx="0">
                  <c:v>East</c:v>
                </c:pt>
                <c:pt idx="1">
                  <c:v>North</c:v>
                </c:pt>
                <c:pt idx="2">
                  <c:v>South</c:v>
                </c:pt>
                <c:pt idx="3">
                  <c:v>West</c:v>
                </c:pt>
              </c:strCache>
            </c:strRef>
          </c:cat>
          <c:val>
            <c:numRef>
              <c:f>Pivot!$N$11:$N$15</c:f>
              <c:numCache>
                <c:formatCode>General</c:formatCode>
                <c:ptCount val="4"/>
                <c:pt idx="0">
                  <c:v>39022.14</c:v>
                </c:pt>
                <c:pt idx="1">
                  <c:v>53994.17</c:v>
                </c:pt>
                <c:pt idx="2">
                  <c:v>48397.11</c:v>
                </c:pt>
                <c:pt idx="3">
                  <c:v>16835.53</c:v>
                </c:pt>
              </c:numCache>
            </c:numRef>
          </c:val>
          <c:extLst>
            <c:ext xmlns:c16="http://schemas.microsoft.com/office/drawing/2014/chart" uri="{C3380CC4-5D6E-409C-BE32-E72D297353CC}">
              <c16:uniqueId val="{00000000-6177-485D-AED5-E48B76383E9C}"/>
            </c:ext>
          </c:extLst>
        </c:ser>
        <c:dLbls>
          <c:showLegendKey val="0"/>
          <c:showVal val="1"/>
          <c:showCatName val="0"/>
          <c:showSerName val="0"/>
          <c:showPercent val="0"/>
          <c:showBubbleSize val="0"/>
        </c:dLbls>
        <c:gapWidth val="150"/>
        <c:shape val="box"/>
        <c:axId val="1135316367"/>
        <c:axId val="1135303887"/>
        <c:axId val="0"/>
      </c:bar3DChart>
      <c:catAx>
        <c:axId val="113531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03887"/>
        <c:crosses val="autoZero"/>
        <c:auto val="1"/>
        <c:lblAlgn val="ctr"/>
        <c:lblOffset val="100"/>
        <c:noMultiLvlLbl val="0"/>
      </c:catAx>
      <c:valAx>
        <c:axId val="1135303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1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City</a:t>
            </a:r>
            <a:endParaRPr lang="en-IN"/>
          </a:p>
        </c:rich>
      </c:tx>
      <c:layout>
        <c:manualLayout>
          <c:xMode val="edge"/>
          <c:yMode val="edge"/>
          <c:x val="0.36604155730533683"/>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Pivot!$N$17</c:f>
              <c:strCache>
                <c:ptCount val="1"/>
                <c:pt idx="0">
                  <c:v>Total</c:v>
                </c:pt>
              </c:strCache>
            </c:strRef>
          </c:tx>
          <c:spPr>
            <a:solidFill>
              <a:schemeClr val="accent1"/>
            </a:solidFill>
            <a:ln>
              <a:noFill/>
            </a:ln>
            <a:effectLst/>
            <a:sp3d/>
          </c:spPr>
          <c:invertIfNegative val="0"/>
          <c:cat>
            <c:strRef>
              <c:f>Pivot!$M$18:$M$38</c:f>
              <c:strCache>
                <c:ptCount val="20"/>
                <c:pt idx="0">
                  <c:v>Bensonhaven</c:v>
                </c:pt>
                <c:pt idx="1">
                  <c:v>Danielmouth</c:v>
                </c:pt>
                <c:pt idx="2">
                  <c:v>Washingtonfurt</c:v>
                </c:pt>
                <c:pt idx="3">
                  <c:v>Port Sharon</c:v>
                </c:pt>
                <c:pt idx="4">
                  <c:v>East Jenniferstad</c:v>
                </c:pt>
                <c:pt idx="5">
                  <c:v>Vasquezborough</c:v>
                </c:pt>
                <c:pt idx="6">
                  <c:v>Thompsonborough</c:v>
                </c:pt>
                <c:pt idx="7">
                  <c:v>Lake Michael</c:v>
                </c:pt>
                <c:pt idx="8">
                  <c:v>New Jimmymouth</c:v>
                </c:pt>
                <c:pt idx="9">
                  <c:v>Christopherland</c:v>
                </c:pt>
                <c:pt idx="10">
                  <c:v>North Nancyview</c:v>
                </c:pt>
                <c:pt idx="11">
                  <c:v>Hoodberg</c:v>
                </c:pt>
                <c:pt idx="12">
                  <c:v>Williamsfurt</c:v>
                </c:pt>
                <c:pt idx="13">
                  <c:v>East Johnstad</c:v>
                </c:pt>
                <c:pt idx="14">
                  <c:v>Port Josephberg</c:v>
                </c:pt>
                <c:pt idx="15">
                  <c:v>New Michaelchester</c:v>
                </c:pt>
                <c:pt idx="16">
                  <c:v>Johnsonville</c:v>
                </c:pt>
                <c:pt idx="17">
                  <c:v>East Stevechester</c:v>
                </c:pt>
                <c:pt idx="18">
                  <c:v>Sabrinatown</c:v>
                </c:pt>
                <c:pt idx="19">
                  <c:v>East Davidville</c:v>
                </c:pt>
              </c:strCache>
            </c:strRef>
          </c:cat>
          <c:val>
            <c:numRef>
              <c:f>Pivot!$N$18:$N$38</c:f>
              <c:numCache>
                <c:formatCode>General</c:formatCode>
                <c:ptCount val="20"/>
                <c:pt idx="0">
                  <c:v>14347.81</c:v>
                </c:pt>
                <c:pt idx="1">
                  <c:v>13660.79</c:v>
                </c:pt>
                <c:pt idx="2">
                  <c:v>11838.88</c:v>
                </c:pt>
                <c:pt idx="3">
                  <c:v>10850.35</c:v>
                </c:pt>
                <c:pt idx="4">
                  <c:v>10499.02</c:v>
                </c:pt>
                <c:pt idx="5">
                  <c:v>9445.74</c:v>
                </c:pt>
                <c:pt idx="6">
                  <c:v>8832.67</c:v>
                </c:pt>
                <c:pt idx="7">
                  <c:v>8294.52</c:v>
                </c:pt>
                <c:pt idx="8">
                  <c:v>8002.86</c:v>
                </c:pt>
                <c:pt idx="9">
                  <c:v>7959.53</c:v>
                </c:pt>
                <c:pt idx="10">
                  <c:v>7631.28</c:v>
                </c:pt>
                <c:pt idx="11">
                  <c:v>7347</c:v>
                </c:pt>
                <c:pt idx="12">
                  <c:v>7050.71</c:v>
                </c:pt>
                <c:pt idx="13">
                  <c:v>6610.72</c:v>
                </c:pt>
                <c:pt idx="14">
                  <c:v>5794.31</c:v>
                </c:pt>
                <c:pt idx="15">
                  <c:v>5236.26</c:v>
                </c:pt>
                <c:pt idx="16">
                  <c:v>5110.59</c:v>
                </c:pt>
                <c:pt idx="17">
                  <c:v>3935.02</c:v>
                </c:pt>
                <c:pt idx="18">
                  <c:v>2903.29</c:v>
                </c:pt>
                <c:pt idx="19">
                  <c:v>2897.6</c:v>
                </c:pt>
              </c:numCache>
            </c:numRef>
          </c:val>
          <c:extLst>
            <c:ext xmlns:c16="http://schemas.microsoft.com/office/drawing/2014/chart" uri="{C3380CC4-5D6E-409C-BE32-E72D297353CC}">
              <c16:uniqueId val="{00000000-7C07-4502-A158-5E55D71B7E5C}"/>
            </c:ext>
          </c:extLst>
        </c:ser>
        <c:dLbls>
          <c:showLegendKey val="0"/>
          <c:showVal val="0"/>
          <c:showCatName val="0"/>
          <c:showSerName val="0"/>
          <c:showPercent val="0"/>
          <c:showBubbleSize val="0"/>
        </c:dLbls>
        <c:gapWidth val="150"/>
        <c:shape val="box"/>
        <c:axId val="1769572383"/>
        <c:axId val="1769577663"/>
        <c:axId val="0"/>
      </c:bar3DChart>
      <c:catAx>
        <c:axId val="1769572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577663"/>
        <c:crosses val="autoZero"/>
        <c:auto val="1"/>
        <c:lblAlgn val="ctr"/>
        <c:lblOffset val="100"/>
        <c:noMultiLvlLbl val="0"/>
      </c:catAx>
      <c:valAx>
        <c:axId val="1769577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57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Loyalty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Pivot!$P$4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F3-4316-904B-155348641D6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F3-4316-904B-155348641D6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5F3-4316-904B-155348641D6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5F3-4316-904B-155348641D65}"/>
              </c:ext>
            </c:extLst>
          </c:dPt>
          <c:cat>
            <c:strRef>
              <c:f>Pivot!$O$5:$O$9</c:f>
              <c:strCache>
                <c:ptCount val="4"/>
                <c:pt idx="0">
                  <c:v>Bronze</c:v>
                </c:pt>
                <c:pt idx="1">
                  <c:v>Gold</c:v>
                </c:pt>
                <c:pt idx="2">
                  <c:v>Platinum</c:v>
                </c:pt>
                <c:pt idx="3">
                  <c:v>Silver</c:v>
                </c:pt>
              </c:strCache>
            </c:strRef>
          </c:cat>
          <c:val>
            <c:numRef>
              <c:f>Pivot!$P$5:$P$9</c:f>
              <c:numCache>
                <c:formatCode>General</c:formatCode>
                <c:ptCount val="4"/>
                <c:pt idx="0">
                  <c:v>125</c:v>
                </c:pt>
                <c:pt idx="1">
                  <c:v>122</c:v>
                </c:pt>
                <c:pt idx="2">
                  <c:v>149</c:v>
                </c:pt>
                <c:pt idx="3">
                  <c:v>104</c:v>
                </c:pt>
              </c:numCache>
            </c:numRef>
          </c:val>
          <c:extLst>
            <c:ext xmlns:c16="http://schemas.microsoft.com/office/drawing/2014/chart" uri="{C3380CC4-5D6E-409C-BE32-E72D297353CC}">
              <c16:uniqueId val="{00000008-15F3-4316-904B-155348641D6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Pivot!$P$11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1C-4F15-8FA9-CA27458DB4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1C-4F15-8FA9-CA27458DB4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Pivot!$O$12:$O$14</c:f>
              <c:strCache>
                <c:ptCount val="2"/>
                <c:pt idx="0">
                  <c:v>Female</c:v>
                </c:pt>
                <c:pt idx="1">
                  <c:v>Male</c:v>
                </c:pt>
              </c:strCache>
            </c:strRef>
          </c:cat>
          <c:val>
            <c:numRef>
              <c:f>Pivot!$P$12:$P$14</c:f>
              <c:numCache>
                <c:formatCode>General</c:formatCode>
                <c:ptCount val="2"/>
                <c:pt idx="0">
                  <c:v>262</c:v>
                </c:pt>
                <c:pt idx="1">
                  <c:v>238</c:v>
                </c:pt>
              </c:numCache>
            </c:numRef>
          </c:val>
          <c:extLst>
            <c:ext xmlns:c16="http://schemas.microsoft.com/office/drawing/2014/chart" uri="{C3380CC4-5D6E-409C-BE32-E72D297353CC}">
              <c16:uniqueId val="{00000004-761C-4F15-8FA9-CA27458DB4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3 Product</a:t>
            </a:r>
            <a:r>
              <a:rPr lang="en-IN" baseline="0"/>
              <a: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Series1</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Decorative Wall Mirror</c:v>
              </c:pt>
              <c:pt idx="1">
                <c:v>Brother Laser Printer</c:v>
              </c:pt>
              <c:pt idx="2">
                <c:v>Fabric Sofa Throw Blanket</c:v>
              </c:pt>
            </c:strLit>
          </c:cat>
          <c:val>
            <c:numLit>
              <c:formatCode>General</c:formatCode>
              <c:ptCount val="3"/>
              <c:pt idx="0">
                <c:v>11989.6</c:v>
              </c:pt>
              <c:pt idx="1">
                <c:v>9998.9</c:v>
              </c:pt>
              <c:pt idx="2">
                <c:v>8285.67</c:v>
              </c:pt>
            </c:numLit>
          </c:val>
          <c:extLst>
            <c:ext xmlns:c16="http://schemas.microsoft.com/office/drawing/2014/chart" uri="{C3380CC4-5D6E-409C-BE32-E72D297353CC}">
              <c16:uniqueId val="{00000000-9E01-428C-A577-D3F06A71F8AC}"/>
            </c:ext>
          </c:extLst>
        </c:ser>
        <c:dLbls>
          <c:showLegendKey val="0"/>
          <c:showVal val="1"/>
          <c:showCatName val="0"/>
          <c:showSerName val="0"/>
          <c:showPercent val="0"/>
          <c:showBubbleSize val="0"/>
        </c:dLbls>
        <c:gapWidth val="150"/>
        <c:shape val="box"/>
        <c:axId val="1640921487"/>
        <c:axId val="1640925327"/>
        <c:axId val="0"/>
      </c:bar3DChart>
      <c:catAx>
        <c:axId val="1640921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25327"/>
        <c:crosses val="autoZero"/>
        <c:auto val="1"/>
        <c:lblAlgn val="ctr"/>
        <c:lblOffset val="100"/>
        <c:noMultiLvlLbl val="0"/>
      </c:catAx>
      <c:valAx>
        <c:axId val="1640925327"/>
        <c:scaling>
          <c:orientation val="minMax"/>
        </c:scaling>
        <c:delete val="0"/>
        <c:axPos val="b"/>
        <c:numFmt formatCode="General" sourceLinked="1"/>
        <c:majorTickMark val="out"/>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92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38-4ACC-B756-95D6CF924D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38-4ACC-B756-95D6CF924D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38-4ACC-B756-95D6CF924D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38-4ACC-B756-95D6CF924D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38-4ACC-B756-95D6CF924D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EEF-40E9-9B28-E849DB5E53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Pivot!$D$4:$D$10</c:f>
              <c:strCache>
                <c:ptCount val="6"/>
                <c:pt idx="0">
                  <c:v>Beauty</c:v>
                </c:pt>
                <c:pt idx="1">
                  <c:v>Clothing</c:v>
                </c:pt>
                <c:pt idx="2">
                  <c:v>Electronics</c:v>
                </c:pt>
                <c:pt idx="3">
                  <c:v>Home</c:v>
                </c:pt>
                <c:pt idx="4">
                  <c:v>Sports</c:v>
                </c:pt>
                <c:pt idx="5">
                  <c:v>(blank)</c:v>
                </c:pt>
              </c:strCache>
            </c:strRef>
          </c:cat>
          <c:val>
            <c:numRef>
              <c:f>Pivot!$E$4:$E$10</c:f>
              <c:numCache>
                <c:formatCode>General</c:formatCode>
                <c:ptCount val="6"/>
                <c:pt idx="0">
                  <c:v>7935.15</c:v>
                </c:pt>
                <c:pt idx="1">
                  <c:v>32165.02</c:v>
                </c:pt>
                <c:pt idx="2">
                  <c:v>35074.699999999997</c:v>
                </c:pt>
                <c:pt idx="3">
                  <c:v>42368.82</c:v>
                </c:pt>
                <c:pt idx="4">
                  <c:v>32855.65</c:v>
                </c:pt>
                <c:pt idx="5">
                  <c:v>7849.61</c:v>
                </c:pt>
              </c:numCache>
            </c:numRef>
          </c:val>
          <c:extLst>
            <c:ext xmlns:c16="http://schemas.microsoft.com/office/drawing/2014/chart" uri="{C3380CC4-5D6E-409C-BE32-E72D297353CC}">
              <c16:uniqueId val="{0000000A-4538-4ACC-B756-95D6CF924D4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0309966462525517"/>
          <c:w val="0.75972222222222219"/>
          <c:h val="0.68578922426363376"/>
        </c:manualLayout>
      </c:layout>
      <c:pie3DChart>
        <c:varyColors val="1"/>
        <c:ser>
          <c:idx val="0"/>
          <c:order val="0"/>
          <c:tx>
            <c:strRef>
              <c:f>Pivot!$G$3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3BC-479B-B9D5-C1F196D32B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3BC-479B-B9D5-C1F196D32B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3BC-479B-B9D5-C1F196D32B84}"/>
              </c:ext>
            </c:extLst>
          </c:dPt>
          <c:cat>
            <c:strRef>
              <c:f>Pivot!$F$4:$F$7</c:f>
              <c:strCache>
                <c:ptCount val="3"/>
                <c:pt idx="0">
                  <c:v>Flagship</c:v>
                </c:pt>
                <c:pt idx="1">
                  <c:v>Online</c:v>
                </c:pt>
                <c:pt idx="2">
                  <c:v>Outlet</c:v>
                </c:pt>
              </c:strCache>
            </c:strRef>
          </c:cat>
          <c:val>
            <c:numRef>
              <c:f>Pivot!$G$4:$G$7</c:f>
              <c:numCache>
                <c:formatCode>General</c:formatCode>
                <c:ptCount val="3"/>
                <c:pt idx="0">
                  <c:v>74005.69</c:v>
                </c:pt>
                <c:pt idx="1">
                  <c:v>56069.19</c:v>
                </c:pt>
                <c:pt idx="2">
                  <c:v>28174.07</c:v>
                </c:pt>
              </c:numCache>
            </c:numRef>
          </c:val>
          <c:extLst>
            <c:ext xmlns:c16="http://schemas.microsoft.com/office/drawing/2014/chart" uri="{C3380CC4-5D6E-409C-BE32-E72D297353CC}">
              <c16:uniqueId val="{00000006-63BC-479B-B9D5-C1F196D32B8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21.xlsx.xlsx]Pivot!PivotTable13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Pivot!$E$15</c:f>
              <c:strCache>
                <c:ptCount val="1"/>
                <c:pt idx="0">
                  <c:v>Total</c:v>
                </c:pt>
              </c:strCache>
            </c:strRef>
          </c:tx>
          <c:spPr>
            <a:solidFill>
              <a:schemeClr val="accent1"/>
            </a:solidFill>
            <a:ln>
              <a:noFill/>
            </a:ln>
            <a:effectLst/>
          </c:spPr>
          <c:cat>
            <c:strRef>
              <c:f>Pivot!$D$16:$D$61</c:f>
              <c:strCache>
                <c:ptCount val="45"/>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Louisiana</c:v>
                </c:pt>
                <c:pt idx="17">
                  <c:v>Maryland</c:v>
                </c:pt>
                <c:pt idx="18">
                  <c:v>Michigan</c:v>
                </c:pt>
                <c:pt idx="19">
                  <c:v>Minnesota</c:v>
                </c:pt>
                <c:pt idx="20">
                  <c:v>Mississippi</c:v>
                </c:pt>
                <c:pt idx="21">
                  <c:v>Missouri</c:v>
                </c:pt>
                <c:pt idx="22">
                  <c:v>Montana</c:v>
                </c:pt>
                <c:pt idx="23">
                  <c:v>Nebraska</c:v>
                </c:pt>
                <c:pt idx="24">
                  <c:v>Nevada</c:v>
                </c:pt>
                <c:pt idx="25">
                  <c:v>New Hampshire</c:v>
                </c:pt>
                <c:pt idx="26">
                  <c:v>New Jersey</c:v>
                </c:pt>
                <c:pt idx="27">
                  <c:v>New Mexico</c:v>
                </c:pt>
                <c:pt idx="28">
                  <c:v>New York</c:v>
                </c:pt>
                <c:pt idx="29">
                  <c:v>North Carolina</c:v>
                </c:pt>
                <c:pt idx="30">
                  <c:v>North Dakota</c:v>
                </c:pt>
                <c:pt idx="31">
                  <c:v>Ohio</c:v>
                </c:pt>
                <c:pt idx="32">
                  <c:v>Oklahoma</c:v>
                </c:pt>
                <c:pt idx="33">
                  <c:v>Oregon</c:v>
                </c:pt>
                <c:pt idx="34">
                  <c:v>Pennsylvania</c:v>
                </c:pt>
                <c:pt idx="35">
                  <c:v>Rhode Island</c:v>
                </c:pt>
                <c:pt idx="36">
                  <c:v>South Carolina</c:v>
                </c:pt>
                <c:pt idx="37">
                  <c:v>South Dakota</c:v>
                </c:pt>
                <c:pt idx="38">
                  <c:v>Tennessee</c:v>
                </c:pt>
                <c:pt idx="39">
                  <c:v>Utah</c:v>
                </c:pt>
                <c:pt idx="40">
                  <c:v>Vermont</c:v>
                </c:pt>
                <c:pt idx="41">
                  <c:v>Virginia</c:v>
                </c:pt>
                <c:pt idx="42">
                  <c:v>Washington</c:v>
                </c:pt>
                <c:pt idx="43">
                  <c:v>West Virginia</c:v>
                </c:pt>
                <c:pt idx="44">
                  <c:v>Wisconsin</c:v>
                </c:pt>
              </c:strCache>
            </c:strRef>
          </c:cat>
          <c:val>
            <c:numRef>
              <c:f>Pivot!$E$16:$E$61</c:f>
              <c:numCache>
                <c:formatCode>General</c:formatCode>
                <c:ptCount val="45"/>
                <c:pt idx="0">
                  <c:v>384.4</c:v>
                </c:pt>
                <c:pt idx="1">
                  <c:v>9753.83</c:v>
                </c:pt>
                <c:pt idx="2">
                  <c:v>1780.28</c:v>
                </c:pt>
                <c:pt idx="3">
                  <c:v>312.35000000000002</c:v>
                </c:pt>
                <c:pt idx="4">
                  <c:v>5189.67</c:v>
                </c:pt>
                <c:pt idx="5">
                  <c:v>1225.42</c:v>
                </c:pt>
                <c:pt idx="6">
                  <c:v>2662.9</c:v>
                </c:pt>
                <c:pt idx="7">
                  <c:v>1410.18</c:v>
                </c:pt>
                <c:pt idx="8">
                  <c:v>4248.16</c:v>
                </c:pt>
                <c:pt idx="9">
                  <c:v>3631.61</c:v>
                </c:pt>
                <c:pt idx="10">
                  <c:v>3291.15</c:v>
                </c:pt>
                <c:pt idx="11">
                  <c:v>1643.21</c:v>
                </c:pt>
                <c:pt idx="12">
                  <c:v>1128.05</c:v>
                </c:pt>
                <c:pt idx="13">
                  <c:v>2965.79</c:v>
                </c:pt>
                <c:pt idx="14">
                  <c:v>785.38</c:v>
                </c:pt>
                <c:pt idx="15">
                  <c:v>7588.48</c:v>
                </c:pt>
                <c:pt idx="16">
                  <c:v>3038.53</c:v>
                </c:pt>
                <c:pt idx="17">
                  <c:v>4206.8599999999997</c:v>
                </c:pt>
                <c:pt idx="18">
                  <c:v>1512.88</c:v>
                </c:pt>
                <c:pt idx="19">
                  <c:v>9634.61</c:v>
                </c:pt>
                <c:pt idx="20">
                  <c:v>721.32</c:v>
                </c:pt>
                <c:pt idx="21">
                  <c:v>2529.9499999999998</c:v>
                </c:pt>
                <c:pt idx="22">
                  <c:v>1380.58</c:v>
                </c:pt>
                <c:pt idx="23">
                  <c:v>4782.16</c:v>
                </c:pt>
                <c:pt idx="24">
                  <c:v>8526.5</c:v>
                </c:pt>
                <c:pt idx="25">
                  <c:v>5212.8500000000004</c:v>
                </c:pt>
                <c:pt idx="26">
                  <c:v>3994.47</c:v>
                </c:pt>
                <c:pt idx="27">
                  <c:v>7378.29</c:v>
                </c:pt>
                <c:pt idx="28">
                  <c:v>1070.5999999999999</c:v>
                </c:pt>
                <c:pt idx="29">
                  <c:v>878.77</c:v>
                </c:pt>
                <c:pt idx="30">
                  <c:v>3286.14</c:v>
                </c:pt>
                <c:pt idx="31">
                  <c:v>3939.03</c:v>
                </c:pt>
                <c:pt idx="32">
                  <c:v>4767.54</c:v>
                </c:pt>
                <c:pt idx="33">
                  <c:v>3585.85</c:v>
                </c:pt>
                <c:pt idx="34">
                  <c:v>7295.75</c:v>
                </c:pt>
                <c:pt idx="35">
                  <c:v>3987.33</c:v>
                </c:pt>
                <c:pt idx="36">
                  <c:v>2899.3</c:v>
                </c:pt>
                <c:pt idx="37">
                  <c:v>5404.16</c:v>
                </c:pt>
                <c:pt idx="38">
                  <c:v>3422.27</c:v>
                </c:pt>
                <c:pt idx="39">
                  <c:v>4627.4799999999996</c:v>
                </c:pt>
                <c:pt idx="40">
                  <c:v>3839.09</c:v>
                </c:pt>
                <c:pt idx="41">
                  <c:v>1614.2</c:v>
                </c:pt>
                <c:pt idx="42">
                  <c:v>627.66</c:v>
                </c:pt>
                <c:pt idx="43">
                  <c:v>3606.01</c:v>
                </c:pt>
                <c:pt idx="44">
                  <c:v>2477.91</c:v>
                </c:pt>
              </c:numCache>
            </c:numRef>
          </c:val>
          <c:extLst>
            <c:ext xmlns:c16="http://schemas.microsoft.com/office/drawing/2014/chart" uri="{C3380CC4-5D6E-409C-BE32-E72D297353CC}">
              <c16:uniqueId val="{00000000-15D2-42C2-B082-47688B55979F}"/>
            </c:ext>
          </c:extLst>
        </c:ser>
        <c:dLbls>
          <c:showLegendKey val="0"/>
          <c:showVal val="0"/>
          <c:showCatName val="0"/>
          <c:showSerName val="0"/>
          <c:showPercent val="0"/>
          <c:showBubbleSize val="0"/>
        </c:dLbls>
        <c:axId val="212220784"/>
        <c:axId val="212221264"/>
      </c:areaChart>
      <c:catAx>
        <c:axId val="21222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1264"/>
        <c:crosses val="autoZero"/>
        <c:auto val="1"/>
        <c:lblAlgn val="ctr"/>
        <c:lblOffset val="100"/>
        <c:noMultiLvlLbl val="0"/>
      </c:catAx>
      <c:valAx>
        <c:axId val="21222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0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21.xlsx.xlsx]Pivot!PivotTable14</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Pivot!$G$9</c:f>
              <c:strCache>
                <c:ptCount val="1"/>
                <c:pt idx="0">
                  <c:v>Sum of Sales</c:v>
                </c:pt>
              </c:strCache>
            </c:strRef>
          </c:tx>
          <c:spPr>
            <a:solidFill>
              <a:schemeClr val="accent1"/>
            </a:solidFill>
            <a:ln>
              <a:noFill/>
            </a:ln>
            <a:effectLst/>
          </c:spPr>
          <c:invertIfNegative val="0"/>
          <c:cat>
            <c:multiLvlStrRef>
              <c:f>Pivot!$F$10:$F$20</c:f>
              <c:multiLvlStrCache>
                <c:ptCount val="8"/>
                <c:lvl>
                  <c:pt idx="0">
                    <c:v>East</c:v>
                  </c:pt>
                  <c:pt idx="1">
                    <c:v>North</c:v>
                  </c:pt>
                  <c:pt idx="2">
                    <c:v>South</c:v>
                  </c:pt>
                  <c:pt idx="3">
                    <c:v>West</c:v>
                  </c:pt>
                  <c:pt idx="4">
                    <c:v>East</c:v>
                  </c:pt>
                  <c:pt idx="5">
                    <c:v>North</c:v>
                  </c:pt>
                  <c:pt idx="6">
                    <c:v>South</c:v>
                  </c:pt>
                  <c:pt idx="7">
                    <c:v>West</c:v>
                  </c:pt>
                </c:lvl>
                <c:lvl>
                  <c:pt idx="0">
                    <c:v>Female</c:v>
                  </c:pt>
                  <c:pt idx="4">
                    <c:v>Male</c:v>
                  </c:pt>
                </c:lvl>
              </c:multiLvlStrCache>
            </c:multiLvlStrRef>
          </c:cat>
          <c:val>
            <c:numRef>
              <c:f>Pivot!$G$10:$G$20</c:f>
              <c:numCache>
                <c:formatCode>General</c:formatCode>
                <c:ptCount val="8"/>
                <c:pt idx="0">
                  <c:v>27794.91</c:v>
                </c:pt>
                <c:pt idx="1">
                  <c:v>27888.560000000001</c:v>
                </c:pt>
                <c:pt idx="2">
                  <c:v>25254.94</c:v>
                </c:pt>
                <c:pt idx="3">
                  <c:v>10965.12</c:v>
                </c:pt>
                <c:pt idx="4">
                  <c:v>11227.23</c:v>
                </c:pt>
                <c:pt idx="5">
                  <c:v>26105.61</c:v>
                </c:pt>
                <c:pt idx="6">
                  <c:v>23142.17</c:v>
                </c:pt>
                <c:pt idx="7">
                  <c:v>5870.41</c:v>
                </c:pt>
              </c:numCache>
            </c:numRef>
          </c:val>
          <c:extLst>
            <c:ext xmlns:c16="http://schemas.microsoft.com/office/drawing/2014/chart" uri="{C3380CC4-5D6E-409C-BE32-E72D297353CC}">
              <c16:uniqueId val="{00000000-8453-40EA-9021-0319DB7F7737}"/>
            </c:ext>
          </c:extLst>
        </c:ser>
        <c:dLbls>
          <c:showLegendKey val="0"/>
          <c:showVal val="0"/>
          <c:showCatName val="0"/>
          <c:showSerName val="0"/>
          <c:showPercent val="0"/>
          <c:showBubbleSize val="0"/>
        </c:dLbls>
        <c:gapWidth val="219"/>
        <c:overlap val="-27"/>
        <c:axId val="1959527871"/>
        <c:axId val="1959519231"/>
      </c:barChart>
      <c:lineChart>
        <c:grouping val="stacked"/>
        <c:varyColors val="0"/>
        <c:ser>
          <c:idx val="1"/>
          <c:order val="1"/>
          <c:tx>
            <c:strRef>
              <c:f>Pivot!$H$9</c:f>
              <c:strCache>
                <c:ptCount val="1"/>
                <c:pt idx="0">
                  <c:v>Count of Quantity</c:v>
                </c:pt>
              </c:strCache>
            </c:strRef>
          </c:tx>
          <c:spPr>
            <a:ln w="28575" cap="rnd">
              <a:solidFill>
                <a:schemeClr val="accent2"/>
              </a:solidFill>
              <a:round/>
            </a:ln>
            <a:effectLst/>
          </c:spPr>
          <c:marker>
            <c:symbol val="none"/>
          </c:marker>
          <c:cat>
            <c:multiLvlStrRef>
              <c:f>Pivot!$F$10:$F$20</c:f>
              <c:multiLvlStrCache>
                <c:ptCount val="8"/>
                <c:lvl>
                  <c:pt idx="0">
                    <c:v>East</c:v>
                  </c:pt>
                  <c:pt idx="1">
                    <c:v>North</c:v>
                  </c:pt>
                  <c:pt idx="2">
                    <c:v>South</c:v>
                  </c:pt>
                  <c:pt idx="3">
                    <c:v>West</c:v>
                  </c:pt>
                  <c:pt idx="4">
                    <c:v>East</c:v>
                  </c:pt>
                  <c:pt idx="5">
                    <c:v>North</c:v>
                  </c:pt>
                  <c:pt idx="6">
                    <c:v>South</c:v>
                  </c:pt>
                  <c:pt idx="7">
                    <c:v>West</c:v>
                  </c:pt>
                </c:lvl>
                <c:lvl>
                  <c:pt idx="0">
                    <c:v>Female</c:v>
                  </c:pt>
                  <c:pt idx="4">
                    <c:v>Male</c:v>
                  </c:pt>
                </c:lvl>
              </c:multiLvlStrCache>
            </c:multiLvlStrRef>
          </c:cat>
          <c:val>
            <c:numRef>
              <c:f>Pivot!$H$10:$H$20</c:f>
              <c:numCache>
                <c:formatCode>General</c:formatCode>
                <c:ptCount val="8"/>
                <c:pt idx="0">
                  <c:v>35</c:v>
                </c:pt>
                <c:pt idx="1">
                  <c:v>37</c:v>
                </c:pt>
                <c:pt idx="2">
                  <c:v>32</c:v>
                </c:pt>
                <c:pt idx="3">
                  <c:v>14</c:v>
                </c:pt>
                <c:pt idx="4">
                  <c:v>18</c:v>
                </c:pt>
                <c:pt idx="5">
                  <c:v>31</c:v>
                </c:pt>
                <c:pt idx="6">
                  <c:v>25</c:v>
                </c:pt>
                <c:pt idx="7">
                  <c:v>8</c:v>
                </c:pt>
              </c:numCache>
            </c:numRef>
          </c:val>
          <c:smooth val="0"/>
          <c:extLst>
            <c:ext xmlns:c16="http://schemas.microsoft.com/office/drawing/2014/chart" uri="{C3380CC4-5D6E-409C-BE32-E72D297353CC}">
              <c16:uniqueId val="{00000001-8453-40EA-9021-0319DB7F7737}"/>
            </c:ext>
          </c:extLst>
        </c:ser>
        <c:dLbls>
          <c:showLegendKey val="0"/>
          <c:showVal val="0"/>
          <c:showCatName val="0"/>
          <c:showSerName val="0"/>
          <c:showPercent val="0"/>
          <c:showBubbleSize val="0"/>
        </c:dLbls>
        <c:marker val="1"/>
        <c:smooth val="0"/>
        <c:axId val="2124791935"/>
        <c:axId val="2124818335"/>
      </c:lineChart>
      <c:catAx>
        <c:axId val="21247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18335"/>
        <c:crosses val="autoZero"/>
        <c:auto val="1"/>
        <c:lblAlgn val="ctr"/>
        <c:lblOffset val="100"/>
        <c:noMultiLvlLbl val="0"/>
      </c:catAx>
      <c:valAx>
        <c:axId val="212481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91935"/>
        <c:crosses val="autoZero"/>
        <c:crossBetween val="between"/>
      </c:valAx>
      <c:valAx>
        <c:axId val="19595192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527871"/>
        <c:crosses val="max"/>
        <c:crossBetween val="between"/>
      </c:valAx>
      <c:catAx>
        <c:axId val="1959527871"/>
        <c:scaling>
          <c:orientation val="minMax"/>
        </c:scaling>
        <c:delete val="1"/>
        <c:axPos val="b"/>
        <c:numFmt formatCode="General" sourceLinked="1"/>
        <c:majorTickMark val="out"/>
        <c:minorTickMark val="none"/>
        <c:tickLblPos val="nextTo"/>
        <c:crossAx val="1959519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FFFFFF"/>
                </a:solidFill>
                <a:latin typeface="+mn-lt"/>
                <a:ea typeface="+mn-ea"/>
                <a:cs typeface="+mn-cs"/>
              </a:defRPr>
            </a:pPr>
            <a:r>
              <a:rPr lang="en-IN" sz="1600" b="1"/>
              <a:t>Top 3 Product by Sales</a:t>
            </a:r>
          </a:p>
        </c:rich>
      </c:tx>
      <c:layout>
        <c:manualLayout>
          <c:xMode val="edge"/>
          <c:yMode val="edge"/>
          <c:x val="0.14885009250892819"/>
          <c:y val="7.002801120448179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Series1</c:v>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Decorative Wall Mirror</c:v>
              </c:pt>
              <c:pt idx="1">
                <c:v>Brother Laser Printer</c:v>
              </c:pt>
              <c:pt idx="2">
                <c:v>Fabric Sofa Throw Blanket</c:v>
              </c:pt>
            </c:strLit>
          </c:cat>
          <c:val>
            <c:numLit>
              <c:formatCode>General</c:formatCode>
              <c:ptCount val="3"/>
              <c:pt idx="0">
                <c:v>11989.6</c:v>
              </c:pt>
              <c:pt idx="1">
                <c:v>9998.9</c:v>
              </c:pt>
              <c:pt idx="2">
                <c:v>8285.67</c:v>
              </c:pt>
            </c:numLit>
          </c:val>
          <c:extLst>
            <c:ext xmlns:c16="http://schemas.microsoft.com/office/drawing/2014/chart" uri="{C3380CC4-5D6E-409C-BE32-E72D297353CC}">
              <c16:uniqueId val="{00000000-AFC7-47A2-91F7-48A0946DE712}"/>
            </c:ext>
          </c:extLst>
        </c:ser>
        <c:dLbls>
          <c:showLegendKey val="0"/>
          <c:showVal val="1"/>
          <c:showCatName val="0"/>
          <c:showSerName val="0"/>
          <c:showPercent val="0"/>
          <c:showBubbleSize val="0"/>
        </c:dLbls>
        <c:gapWidth val="150"/>
        <c:shape val="box"/>
        <c:axId val="1640921487"/>
        <c:axId val="1640925327"/>
        <c:axId val="0"/>
      </c:bar3DChart>
      <c:catAx>
        <c:axId val="1640921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640925327"/>
        <c:crosses val="autoZero"/>
        <c:auto val="1"/>
        <c:lblAlgn val="ctr"/>
        <c:lblOffset val="100"/>
        <c:noMultiLvlLbl val="0"/>
      </c:catAx>
      <c:valAx>
        <c:axId val="1640925327"/>
        <c:scaling>
          <c:orientation val="minMax"/>
        </c:scaling>
        <c:delete val="0"/>
        <c:axPos val="b"/>
        <c:numFmt formatCode="General" sourceLinked="1"/>
        <c:majorTickMark val="out"/>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64092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21.xlsx.xlsx]Pivot!PivotTable1</c:name>
    <c:fmtId val="15"/>
  </c:pivotSource>
  <c:chart>
    <c:title>
      <c:tx>
        <c:rich>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r>
              <a:rPr lang="en-US">
                <a:solidFill>
                  <a:srgbClr val="FF0000"/>
                </a:solidFill>
              </a:rPr>
              <a:t>Sales by Region</a:t>
            </a:r>
          </a:p>
        </c:rich>
      </c:tx>
      <c:layout>
        <c:manualLayout>
          <c:xMode val="edge"/>
          <c:yMode val="edge"/>
          <c:x val="0.27619893993833294"/>
          <c:y val="6.2369775893397948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FF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Pivot!$N$10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Pivot!$M$11:$M$15</c:f>
              <c:strCache>
                <c:ptCount val="4"/>
                <c:pt idx="0">
                  <c:v>East</c:v>
                </c:pt>
                <c:pt idx="1">
                  <c:v>North</c:v>
                </c:pt>
                <c:pt idx="2">
                  <c:v>South</c:v>
                </c:pt>
                <c:pt idx="3">
                  <c:v>West</c:v>
                </c:pt>
              </c:strCache>
            </c:strRef>
          </c:cat>
          <c:val>
            <c:numRef>
              <c:f>Pivot!$N$11:$N$15</c:f>
              <c:numCache>
                <c:formatCode>General</c:formatCode>
                <c:ptCount val="4"/>
                <c:pt idx="0">
                  <c:v>39022.14</c:v>
                </c:pt>
                <c:pt idx="1">
                  <c:v>53994.17</c:v>
                </c:pt>
                <c:pt idx="2">
                  <c:v>48397.11</c:v>
                </c:pt>
                <c:pt idx="3">
                  <c:v>16835.53</c:v>
                </c:pt>
              </c:numCache>
            </c:numRef>
          </c:val>
          <c:extLst>
            <c:ext xmlns:c16="http://schemas.microsoft.com/office/drawing/2014/chart" uri="{C3380CC4-5D6E-409C-BE32-E72D297353CC}">
              <c16:uniqueId val="{00000000-55C0-43C5-9AB2-E6351E35AC38}"/>
            </c:ext>
          </c:extLst>
        </c:ser>
        <c:dLbls>
          <c:showLegendKey val="0"/>
          <c:showVal val="1"/>
          <c:showCatName val="0"/>
          <c:showSerName val="0"/>
          <c:showPercent val="0"/>
          <c:showBubbleSize val="0"/>
        </c:dLbls>
        <c:gapWidth val="65"/>
        <c:shape val="box"/>
        <c:axId val="1135316367"/>
        <c:axId val="1135303887"/>
        <c:axId val="0"/>
      </c:bar3DChart>
      <c:catAx>
        <c:axId val="11353163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5303887"/>
        <c:crosses val="autoZero"/>
        <c:auto val="1"/>
        <c:lblAlgn val="ctr"/>
        <c:lblOffset val="100"/>
        <c:noMultiLvlLbl val="0"/>
      </c:catAx>
      <c:valAx>
        <c:axId val="1135303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531636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21.xlsx.xlsx]Pivot!PivotTable2</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City</a:t>
            </a:r>
          </a:p>
        </c:rich>
      </c:tx>
      <c:layout>
        <c:manualLayout>
          <c:xMode val="edge"/>
          <c:yMode val="edge"/>
          <c:x val="0.24839431835726417"/>
          <c:y val="6.192081048234729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Pivot!$N$17</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Pivot!$M$18:$M$38</c:f>
              <c:strCache>
                <c:ptCount val="20"/>
                <c:pt idx="0">
                  <c:v>Bensonhaven</c:v>
                </c:pt>
                <c:pt idx="1">
                  <c:v>Danielmouth</c:v>
                </c:pt>
                <c:pt idx="2">
                  <c:v>Washingtonfurt</c:v>
                </c:pt>
                <c:pt idx="3">
                  <c:v>Port Sharon</c:v>
                </c:pt>
                <c:pt idx="4">
                  <c:v>East Jenniferstad</c:v>
                </c:pt>
                <c:pt idx="5">
                  <c:v>Vasquezborough</c:v>
                </c:pt>
                <c:pt idx="6">
                  <c:v>Thompsonborough</c:v>
                </c:pt>
                <c:pt idx="7">
                  <c:v>Lake Michael</c:v>
                </c:pt>
                <c:pt idx="8">
                  <c:v>New Jimmymouth</c:v>
                </c:pt>
                <c:pt idx="9">
                  <c:v>Christopherland</c:v>
                </c:pt>
                <c:pt idx="10">
                  <c:v>North Nancyview</c:v>
                </c:pt>
                <c:pt idx="11">
                  <c:v>Hoodberg</c:v>
                </c:pt>
                <c:pt idx="12">
                  <c:v>Williamsfurt</c:v>
                </c:pt>
                <c:pt idx="13">
                  <c:v>East Johnstad</c:v>
                </c:pt>
                <c:pt idx="14">
                  <c:v>Port Josephberg</c:v>
                </c:pt>
                <c:pt idx="15">
                  <c:v>New Michaelchester</c:v>
                </c:pt>
                <c:pt idx="16">
                  <c:v>Johnsonville</c:v>
                </c:pt>
                <c:pt idx="17">
                  <c:v>East Stevechester</c:v>
                </c:pt>
                <c:pt idx="18">
                  <c:v>Sabrinatown</c:v>
                </c:pt>
                <c:pt idx="19">
                  <c:v>East Davidville</c:v>
                </c:pt>
              </c:strCache>
            </c:strRef>
          </c:cat>
          <c:val>
            <c:numRef>
              <c:f>Pivot!$N$18:$N$38</c:f>
              <c:numCache>
                <c:formatCode>General</c:formatCode>
                <c:ptCount val="20"/>
                <c:pt idx="0">
                  <c:v>14347.81</c:v>
                </c:pt>
                <c:pt idx="1">
                  <c:v>13660.79</c:v>
                </c:pt>
                <c:pt idx="2">
                  <c:v>11838.88</c:v>
                </c:pt>
                <c:pt idx="3">
                  <c:v>10850.35</c:v>
                </c:pt>
                <c:pt idx="4">
                  <c:v>10499.02</c:v>
                </c:pt>
                <c:pt idx="5">
                  <c:v>9445.74</c:v>
                </c:pt>
                <c:pt idx="6">
                  <c:v>8832.67</c:v>
                </c:pt>
                <c:pt idx="7">
                  <c:v>8294.52</c:v>
                </c:pt>
                <c:pt idx="8">
                  <c:v>8002.86</c:v>
                </c:pt>
                <c:pt idx="9">
                  <c:v>7959.53</c:v>
                </c:pt>
                <c:pt idx="10">
                  <c:v>7631.28</c:v>
                </c:pt>
                <c:pt idx="11">
                  <c:v>7347</c:v>
                </c:pt>
                <c:pt idx="12">
                  <c:v>7050.71</c:v>
                </c:pt>
                <c:pt idx="13">
                  <c:v>6610.72</c:v>
                </c:pt>
                <c:pt idx="14">
                  <c:v>5794.31</c:v>
                </c:pt>
                <c:pt idx="15">
                  <c:v>5236.26</c:v>
                </c:pt>
                <c:pt idx="16">
                  <c:v>5110.59</c:v>
                </c:pt>
                <c:pt idx="17">
                  <c:v>3935.02</c:v>
                </c:pt>
                <c:pt idx="18">
                  <c:v>2903.29</c:v>
                </c:pt>
                <c:pt idx="19">
                  <c:v>2897.6</c:v>
                </c:pt>
              </c:numCache>
            </c:numRef>
          </c:val>
          <c:extLst>
            <c:ext xmlns:c16="http://schemas.microsoft.com/office/drawing/2014/chart" uri="{C3380CC4-5D6E-409C-BE32-E72D297353CC}">
              <c16:uniqueId val="{00000000-0E1F-481D-B7B1-D3DC324CF31E}"/>
            </c:ext>
          </c:extLst>
        </c:ser>
        <c:dLbls>
          <c:showLegendKey val="0"/>
          <c:showVal val="0"/>
          <c:showCatName val="0"/>
          <c:showSerName val="0"/>
          <c:showPercent val="0"/>
          <c:showBubbleSize val="0"/>
        </c:dLbls>
        <c:gapWidth val="150"/>
        <c:gapDepth val="0"/>
        <c:shape val="box"/>
        <c:axId val="1769572383"/>
        <c:axId val="1769577663"/>
        <c:axId val="0"/>
      </c:bar3DChart>
      <c:catAx>
        <c:axId val="1769572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577663"/>
        <c:crosses val="autoZero"/>
        <c:auto val="1"/>
        <c:lblAlgn val="ctr"/>
        <c:lblOffset val="100"/>
        <c:noMultiLvlLbl val="0"/>
      </c:catAx>
      <c:valAx>
        <c:axId val="1769577663"/>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572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21.xlsx.xlsx]Pivot!PivotTable9</c:name>
    <c:fmtId val="16"/>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IN" sz="1600" b="1">
                <a:solidFill>
                  <a:srgbClr val="FF0000"/>
                </a:solidFill>
              </a:rPr>
              <a:t>Sales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3447432762836178"/>
              <c:y val="-5.532503457814660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3039934800325992"/>
              <c:y val="3.457814661134169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9.7799511002444994E-2"/>
              <c:y val="2.766251728907330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7.7424612876935639E-2"/>
              <c:y val="5.532503457814660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3039934800325997"/>
              <c:y val="1.38312586445365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2224938875305622"/>
              <c:y val="-8.298755186721991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3447432762836178"/>
              <c:y val="-5.532503457814660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3039934800325992"/>
              <c:y val="3.457814661134169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9.7799511002444994E-2"/>
              <c:y val="2.766251728907330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7.7424612876935639E-2"/>
              <c:y val="5.532503457814660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3039934800325997"/>
              <c:y val="1.38312586445365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2224938875305622"/>
              <c:y val="-8.298755186721991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C8-4B1E-A47A-05435C9F6E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8-4B1E-A47A-05435C9F6E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C8-4B1E-A47A-05435C9F6E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C8-4B1E-A47A-05435C9F6E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C8-4B1E-A47A-05435C9F6E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03-401D-BD1E-58B9E9EE09EC}"/>
              </c:ext>
            </c:extLst>
          </c:dPt>
          <c:dLbls>
            <c:dLbl>
              <c:idx val="0"/>
              <c:layout>
                <c:manualLayout>
                  <c:x val="0.13447432762836178"/>
                  <c:y val="-5.5325034578146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C8-4B1E-A47A-05435C9F6E94}"/>
                </c:ext>
              </c:extLst>
            </c:dLbl>
            <c:dLbl>
              <c:idx val="1"/>
              <c:layout>
                <c:manualLayout>
                  <c:x val="0.13039934800325992"/>
                  <c:y val="3.4578146611341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C8-4B1E-A47A-05435C9F6E94}"/>
                </c:ext>
              </c:extLst>
            </c:dLbl>
            <c:dLbl>
              <c:idx val="2"/>
              <c:layout>
                <c:manualLayout>
                  <c:x val="9.7799511002444994E-2"/>
                  <c:y val="2.7662517289073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C8-4B1E-A47A-05435C9F6E94}"/>
                </c:ext>
              </c:extLst>
            </c:dLbl>
            <c:dLbl>
              <c:idx val="3"/>
              <c:layout>
                <c:manualLayout>
                  <c:x val="-7.7424612876935639E-2"/>
                  <c:y val="5.5325034578146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C8-4B1E-A47A-05435C9F6E94}"/>
                </c:ext>
              </c:extLst>
            </c:dLbl>
            <c:dLbl>
              <c:idx val="4"/>
              <c:layout>
                <c:manualLayout>
                  <c:x val="-0.13039934800325997"/>
                  <c:y val="1.383125864453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BC8-4B1E-A47A-05435C9F6E94}"/>
                </c:ext>
              </c:extLst>
            </c:dLbl>
            <c:dLbl>
              <c:idx val="5"/>
              <c:layout>
                <c:manualLayout>
                  <c:x val="-0.12224938875305622"/>
                  <c:y val="-8.2987551867219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03-401D-BD1E-58B9E9EE09EC}"/>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Pivot!$D$4:$D$10</c:f>
              <c:strCache>
                <c:ptCount val="6"/>
                <c:pt idx="0">
                  <c:v>Beauty</c:v>
                </c:pt>
                <c:pt idx="1">
                  <c:v>Clothing</c:v>
                </c:pt>
                <c:pt idx="2">
                  <c:v>Electronics</c:v>
                </c:pt>
                <c:pt idx="3">
                  <c:v>Home</c:v>
                </c:pt>
                <c:pt idx="4">
                  <c:v>Sports</c:v>
                </c:pt>
                <c:pt idx="5">
                  <c:v>(blank)</c:v>
                </c:pt>
              </c:strCache>
            </c:strRef>
          </c:cat>
          <c:val>
            <c:numRef>
              <c:f>Pivot!$E$4:$E$10</c:f>
              <c:numCache>
                <c:formatCode>General</c:formatCode>
                <c:ptCount val="6"/>
                <c:pt idx="0">
                  <c:v>7935.15</c:v>
                </c:pt>
                <c:pt idx="1">
                  <c:v>32165.02</c:v>
                </c:pt>
                <c:pt idx="2">
                  <c:v>35074.699999999997</c:v>
                </c:pt>
                <c:pt idx="3">
                  <c:v>42368.82</c:v>
                </c:pt>
                <c:pt idx="4">
                  <c:v>32855.65</c:v>
                </c:pt>
                <c:pt idx="5">
                  <c:v>7849.61</c:v>
                </c:pt>
              </c:numCache>
            </c:numRef>
          </c:val>
          <c:extLst>
            <c:ext xmlns:c16="http://schemas.microsoft.com/office/drawing/2014/chart" uri="{C3380CC4-5D6E-409C-BE32-E72D297353CC}">
              <c16:uniqueId val="{0000000A-CBC8-4B1E-A47A-05435C9F6E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21.xlsx.xlsx]Pivot!PivotTable13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Pivot!$D$16:$D$61</c:f>
              <c:strCache>
                <c:ptCount val="45"/>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Louisiana</c:v>
                </c:pt>
                <c:pt idx="17">
                  <c:v>Maryland</c:v>
                </c:pt>
                <c:pt idx="18">
                  <c:v>Michigan</c:v>
                </c:pt>
                <c:pt idx="19">
                  <c:v>Minnesota</c:v>
                </c:pt>
                <c:pt idx="20">
                  <c:v>Mississippi</c:v>
                </c:pt>
                <c:pt idx="21">
                  <c:v>Missouri</c:v>
                </c:pt>
                <c:pt idx="22">
                  <c:v>Montana</c:v>
                </c:pt>
                <c:pt idx="23">
                  <c:v>Nebraska</c:v>
                </c:pt>
                <c:pt idx="24">
                  <c:v>Nevada</c:v>
                </c:pt>
                <c:pt idx="25">
                  <c:v>New Hampshire</c:v>
                </c:pt>
                <c:pt idx="26">
                  <c:v>New Jersey</c:v>
                </c:pt>
                <c:pt idx="27">
                  <c:v>New Mexico</c:v>
                </c:pt>
                <c:pt idx="28">
                  <c:v>New York</c:v>
                </c:pt>
                <c:pt idx="29">
                  <c:v>North Carolina</c:v>
                </c:pt>
                <c:pt idx="30">
                  <c:v>North Dakota</c:v>
                </c:pt>
                <c:pt idx="31">
                  <c:v>Ohio</c:v>
                </c:pt>
                <c:pt idx="32">
                  <c:v>Oklahoma</c:v>
                </c:pt>
                <c:pt idx="33">
                  <c:v>Oregon</c:v>
                </c:pt>
                <c:pt idx="34">
                  <c:v>Pennsylvania</c:v>
                </c:pt>
                <c:pt idx="35">
                  <c:v>Rhode Island</c:v>
                </c:pt>
                <c:pt idx="36">
                  <c:v>South Carolina</c:v>
                </c:pt>
                <c:pt idx="37">
                  <c:v>South Dakota</c:v>
                </c:pt>
                <c:pt idx="38">
                  <c:v>Tennessee</c:v>
                </c:pt>
                <c:pt idx="39">
                  <c:v>Utah</c:v>
                </c:pt>
                <c:pt idx="40">
                  <c:v>Vermont</c:v>
                </c:pt>
                <c:pt idx="41">
                  <c:v>Virginia</c:v>
                </c:pt>
                <c:pt idx="42">
                  <c:v>Washington</c:v>
                </c:pt>
                <c:pt idx="43">
                  <c:v>West Virginia</c:v>
                </c:pt>
                <c:pt idx="44">
                  <c:v>Wisconsin</c:v>
                </c:pt>
              </c:strCache>
            </c:strRef>
          </c:cat>
          <c:val>
            <c:numRef>
              <c:f>Pivot!$E$16:$E$61</c:f>
              <c:numCache>
                <c:formatCode>General</c:formatCode>
                <c:ptCount val="45"/>
                <c:pt idx="0">
                  <c:v>384.4</c:v>
                </c:pt>
                <c:pt idx="1">
                  <c:v>9753.83</c:v>
                </c:pt>
                <c:pt idx="2">
                  <c:v>1780.28</c:v>
                </c:pt>
                <c:pt idx="3">
                  <c:v>312.35000000000002</c:v>
                </c:pt>
                <c:pt idx="4">
                  <c:v>5189.67</c:v>
                </c:pt>
                <c:pt idx="5">
                  <c:v>1225.42</c:v>
                </c:pt>
                <c:pt idx="6">
                  <c:v>2662.9</c:v>
                </c:pt>
                <c:pt idx="7">
                  <c:v>1410.18</c:v>
                </c:pt>
                <c:pt idx="8">
                  <c:v>4248.16</c:v>
                </c:pt>
                <c:pt idx="9">
                  <c:v>3631.61</c:v>
                </c:pt>
                <c:pt idx="10">
                  <c:v>3291.15</c:v>
                </c:pt>
                <c:pt idx="11">
                  <c:v>1643.21</c:v>
                </c:pt>
                <c:pt idx="12">
                  <c:v>1128.05</c:v>
                </c:pt>
                <c:pt idx="13">
                  <c:v>2965.79</c:v>
                </c:pt>
                <c:pt idx="14">
                  <c:v>785.38</c:v>
                </c:pt>
                <c:pt idx="15">
                  <c:v>7588.48</c:v>
                </c:pt>
                <c:pt idx="16">
                  <c:v>3038.53</c:v>
                </c:pt>
                <c:pt idx="17">
                  <c:v>4206.8599999999997</c:v>
                </c:pt>
                <c:pt idx="18">
                  <c:v>1512.88</c:v>
                </c:pt>
                <c:pt idx="19">
                  <c:v>9634.61</c:v>
                </c:pt>
                <c:pt idx="20">
                  <c:v>721.32</c:v>
                </c:pt>
                <c:pt idx="21">
                  <c:v>2529.9499999999998</c:v>
                </c:pt>
                <c:pt idx="22">
                  <c:v>1380.58</c:v>
                </c:pt>
                <c:pt idx="23">
                  <c:v>4782.16</c:v>
                </c:pt>
                <c:pt idx="24">
                  <c:v>8526.5</c:v>
                </c:pt>
                <c:pt idx="25">
                  <c:v>5212.8500000000004</c:v>
                </c:pt>
                <c:pt idx="26">
                  <c:v>3994.47</c:v>
                </c:pt>
                <c:pt idx="27">
                  <c:v>7378.29</c:v>
                </c:pt>
                <c:pt idx="28">
                  <c:v>1070.5999999999999</c:v>
                </c:pt>
                <c:pt idx="29">
                  <c:v>878.77</c:v>
                </c:pt>
                <c:pt idx="30">
                  <c:v>3286.14</c:v>
                </c:pt>
                <c:pt idx="31">
                  <c:v>3939.03</c:v>
                </c:pt>
                <c:pt idx="32">
                  <c:v>4767.54</c:v>
                </c:pt>
                <c:pt idx="33">
                  <c:v>3585.85</c:v>
                </c:pt>
                <c:pt idx="34">
                  <c:v>7295.75</c:v>
                </c:pt>
                <c:pt idx="35">
                  <c:v>3987.33</c:v>
                </c:pt>
                <c:pt idx="36">
                  <c:v>2899.3</c:v>
                </c:pt>
                <c:pt idx="37">
                  <c:v>5404.16</c:v>
                </c:pt>
                <c:pt idx="38">
                  <c:v>3422.27</c:v>
                </c:pt>
                <c:pt idx="39">
                  <c:v>4627.4799999999996</c:v>
                </c:pt>
                <c:pt idx="40">
                  <c:v>3839.09</c:v>
                </c:pt>
                <c:pt idx="41">
                  <c:v>1614.2</c:v>
                </c:pt>
                <c:pt idx="42">
                  <c:v>627.66</c:v>
                </c:pt>
                <c:pt idx="43">
                  <c:v>3606.01</c:v>
                </c:pt>
                <c:pt idx="44">
                  <c:v>2477.91</c:v>
                </c:pt>
              </c:numCache>
            </c:numRef>
          </c:val>
          <c:extLst>
            <c:ext xmlns:c16="http://schemas.microsoft.com/office/drawing/2014/chart" uri="{C3380CC4-5D6E-409C-BE32-E72D297353CC}">
              <c16:uniqueId val="{00000000-ED0D-41C2-975C-0B8C5BFB1DB5}"/>
            </c:ext>
          </c:extLst>
        </c:ser>
        <c:dLbls>
          <c:showLegendKey val="0"/>
          <c:showVal val="0"/>
          <c:showCatName val="0"/>
          <c:showSerName val="0"/>
          <c:showPercent val="0"/>
          <c:showBubbleSize val="0"/>
        </c:dLbls>
        <c:axId val="212220784"/>
        <c:axId val="212221264"/>
      </c:areaChart>
      <c:catAx>
        <c:axId val="2122207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221264"/>
        <c:crosses val="autoZero"/>
        <c:auto val="1"/>
        <c:lblAlgn val="ctr"/>
        <c:lblOffset val="100"/>
        <c:noMultiLvlLbl val="0"/>
      </c:catAx>
      <c:valAx>
        <c:axId val="212221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220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21.xlsx.xlsx]Pivot!PivotTable10</c:name>
    <c:fmtId val="18"/>
  </c:pivotSource>
  <c:chart>
    <c:title>
      <c:tx>
        <c:rich>
          <a:bodyPr rot="0" spcFirstLastPara="1" vertOverflow="ellipsis" vert="horz" wrap="square" anchor="ctr" anchorCtr="1"/>
          <a:lstStyle/>
          <a:p>
            <a:pPr>
              <a:defRPr sz="1600" b="1" i="0" u="none" strike="noStrike" kern="1200" spc="0" baseline="0">
                <a:solidFill>
                  <a:srgbClr val="C00000"/>
                </a:solidFill>
                <a:latin typeface="+mn-lt"/>
                <a:ea typeface="+mn-ea"/>
                <a:cs typeface="+mn-cs"/>
              </a:defRPr>
            </a:pPr>
            <a:r>
              <a:rPr lang="en-US" sz="1600" b="1">
                <a:solidFill>
                  <a:srgbClr val="C00000"/>
                </a:solidFill>
              </a:rPr>
              <a:t>Sales by Store</a:t>
            </a:r>
          </a:p>
        </c:rich>
      </c:tx>
      <c:layout>
        <c:manualLayout>
          <c:xMode val="edge"/>
          <c:yMode val="edge"/>
          <c:x val="0.25110252175924813"/>
          <c:y val="7.584005062608280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17117117117117"/>
          <c:y val="0.23943388005353086"/>
          <c:w val="0.63359615521032853"/>
          <c:h val="0.57699158652599258"/>
        </c:manualLayout>
      </c:layout>
      <c:pie3DChart>
        <c:varyColors val="1"/>
        <c:ser>
          <c:idx val="0"/>
          <c:order val="0"/>
          <c:tx>
            <c:strRef>
              <c:f>Pivot!$G$3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6EB-4C48-835E-120E3E4B2D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6EB-4C48-835E-120E3E4B2D6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6EB-4C48-835E-120E3E4B2D67}"/>
              </c:ext>
            </c:extLst>
          </c:dPt>
          <c:cat>
            <c:strRef>
              <c:f>Pivot!$F$4:$F$7</c:f>
              <c:strCache>
                <c:ptCount val="3"/>
                <c:pt idx="0">
                  <c:v>Flagship</c:v>
                </c:pt>
                <c:pt idx="1">
                  <c:v>Online</c:v>
                </c:pt>
                <c:pt idx="2">
                  <c:v>Outlet</c:v>
                </c:pt>
              </c:strCache>
            </c:strRef>
          </c:cat>
          <c:val>
            <c:numRef>
              <c:f>Pivot!$G$4:$G$7</c:f>
              <c:numCache>
                <c:formatCode>General</c:formatCode>
                <c:ptCount val="3"/>
                <c:pt idx="0">
                  <c:v>74005.69</c:v>
                </c:pt>
                <c:pt idx="1">
                  <c:v>56069.19</c:v>
                </c:pt>
                <c:pt idx="2">
                  <c:v>28174.07</c:v>
                </c:pt>
              </c:numCache>
            </c:numRef>
          </c:val>
          <c:extLst>
            <c:ext xmlns:c16="http://schemas.microsoft.com/office/drawing/2014/chart" uri="{C3380CC4-5D6E-409C-BE32-E72D297353CC}">
              <c16:uniqueId val="{00000006-66EB-4C48-835E-120E3E4B2D6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21.xlsx.xlsx]Pivot!PivotTable14</c:name>
    <c:fmtId val="23"/>
  </c:pivotSource>
  <c:chart>
    <c:title>
      <c:tx>
        <c:rich>
          <a:bodyPr rot="0" spcFirstLastPara="1" vertOverflow="ellipsis" vert="horz" wrap="square" anchor="ctr" anchorCtr="1"/>
          <a:lstStyle/>
          <a:p>
            <a:pPr>
              <a:defRPr sz="14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solidFill>
                  <a:srgbClr val="FFFF00"/>
                </a:solidFill>
                <a:effectLst>
                  <a:outerShdw blurRad="50800" dist="38100" dir="5400000" algn="t" rotWithShape="0">
                    <a:prstClr val="black">
                      <a:alpha val="40000"/>
                    </a:prstClr>
                  </a:outerShdw>
                </a:effectLst>
              </a:rPr>
              <a:t>Sales vs Quantity Trends across Gender and Region</a:t>
            </a:r>
            <a:endParaRPr lang="en-IN" sz="1400" b="1">
              <a:solidFill>
                <a:srgbClr val="FFFF00"/>
              </a:solidFill>
            </a:endParaRPr>
          </a:p>
        </c:rich>
      </c:tx>
      <c:overlay val="0"/>
      <c:spPr>
        <a:noFill/>
        <a:ln>
          <a:noFill/>
        </a:ln>
        <a:effectLst/>
      </c:spPr>
      <c:txPr>
        <a:bodyPr rot="0" spcFirstLastPara="1" vertOverflow="ellipsis" vert="horz" wrap="square" anchor="ctr" anchorCtr="1"/>
        <a:lstStyle/>
        <a:p>
          <a:pPr>
            <a:defRPr sz="14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Pivot!$G$9</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Pivot!$F$10:$F$20</c:f>
              <c:multiLvlStrCache>
                <c:ptCount val="8"/>
                <c:lvl>
                  <c:pt idx="0">
                    <c:v>East</c:v>
                  </c:pt>
                  <c:pt idx="1">
                    <c:v>North</c:v>
                  </c:pt>
                  <c:pt idx="2">
                    <c:v>South</c:v>
                  </c:pt>
                  <c:pt idx="3">
                    <c:v>West</c:v>
                  </c:pt>
                  <c:pt idx="4">
                    <c:v>East</c:v>
                  </c:pt>
                  <c:pt idx="5">
                    <c:v>North</c:v>
                  </c:pt>
                  <c:pt idx="6">
                    <c:v>South</c:v>
                  </c:pt>
                  <c:pt idx="7">
                    <c:v>West</c:v>
                  </c:pt>
                </c:lvl>
                <c:lvl>
                  <c:pt idx="0">
                    <c:v>Female</c:v>
                  </c:pt>
                  <c:pt idx="4">
                    <c:v>Male</c:v>
                  </c:pt>
                </c:lvl>
              </c:multiLvlStrCache>
            </c:multiLvlStrRef>
          </c:cat>
          <c:val>
            <c:numRef>
              <c:f>Pivot!$G$10:$G$20</c:f>
              <c:numCache>
                <c:formatCode>General</c:formatCode>
                <c:ptCount val="8"/>
                <c:pt idx="0">
                  <c:v>27794.91</c:v>
                </c:pt>
                <c:pt idx="1">
                  <c:v>27888.560000000001</c:v>
                </c:pt>
                <c:pt idx="2">
                  <c:v>25254.94</c:v>
                </c:pt>
                <c:pt idx="3">
                  <c:v>10965.12</c:v>
                </c:pt>
                <c:pt idx="4">
                  <c:v>11227.23</c:v>
                </c:pt>
                <c:pt idx="5">
                  <c:v>26105.61</c:v>
                </c:pt>
                <c:pt idx="6">
                  <c:v>23142.17</c:v>
                </c:pt>
                <c:pt idx="7">
                  <c:v>5870.41</c:v>
                </c:pt>
              </c:numCache>
            </c:numRef>
          </c:val>
          <c:extLst>
            <c:ext xmlns:c16="http://schemas.microsoft.com/office/drawing/2014/chart" uri="{C3380CC4-5D6E-409C-BE32-E72D297353CC}">
              <c16:uniqueId val="{00000000-8ADB-4EEA-B008-46E279CEC15F}"/>
            </c:ext>
          </c:extLst>
        </c:ser>
        <c:dLbls>
          <c:dLblPos val="inEnd"/>
          <c:showLegendKey val="0"/>
          <c:showVal val="1"/>
          <c:showCatName val="0"/>
          <c:showSerName val="0"/>
          <c:showPercent val="0"/>
          <c:showBubbleSize val="0"/>
        </c:dLbls>
        <c:gapWidth val="219"/>
        <c:overlap val="-27"/>
        <c:axId val="1959527871"/>
        <c:axId val="1959519231"/>
      </c:barChart>
      <c:lineChart>
        <c:grouping val="stacked"/>
        <c:varyColors val="0"/>
        <c:ser>
          <c:idx val="1"/>
          <c:order val="1"/>
          <c:tx>
            <c:strRef>
              <c:f>Pivot!$H$9</c:f>
              <c:strCache>
                <c:ptCount val="1"/>
                <c:pt idx="0">
                  <c:v>Count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2"/>
                </a:solidFill>
              </a:ln>
              <a:effectLst/>
            </c:spPr>
            <c:trendlineType val="linear"/>
            <c:dispRSqr val="0"/>
            <c:dispEq val="0"/>
          </c:trendline>
          <c:cat>
            <c:multiLvlStrRef>
              <c:f>Pivot!$F$10:$F$20</c:f>
              <c:multiLvlStrCache>
                <c:ptCount val="8"/>
                <c:lvl>
                  <c:pt idx="0">
                    <c:v>East</c:v>
                  </c:pt>
                  <c:pt idx="1">
                    <c:v>North</c:v>
                  </c:pt>
                  <c:pt idx="2">
                    <c:v>South</c:v>
                  </c:pt>
                  <c:pt idx="3">
                    <c:v>West</c:v>
                  </c:pt>
                  <c:pt idx="4">
                    <c:v>East</c:v>
                  </c:pt>
                  <c:pt idx="5">
                    <c:v>North</c:v>
                  </c:pt>
                  <c:pt idx="6">
                    <c:v>South</c:v>
                  </c:pt>
                  <c:pt idx="7">
                    <c:v>West</c:v>
                  </c:pt>
                </c:lvl>
                <c:lvl>
                  <c:pt idx="0">
                    <c:v>Female</c:v>
                  </c:pt>
                  <c:pt idx="4">
                    <c:v>Male</c:v>
                  </c:pt>
                </c:lvl>
              </c:multiLvlStrCache>
            </c:multiLvlStrRef>
          </c:cat>
          <c:val>
            <c:numRef>
              <c:f>Pivot!$H$10:$H$20</c:f>
              <c:numCache>
                <c:formatCode>General</c:formatCode>
                <c:ptCount val="8"/>
                <c:pt idx="0">
                  <c:v>35</c:v>
                </c:pt>
                <c:pt idx="1">
                  <c:v>37</c:v>
                </c:pt>
                <c:pt idx="2">
                  <c:v>32</c:v>
                </c:pt>
                <c:pt idx="3">
                  <c:v>14</c:v>
                </c:pt>
                <c:pt idx="4">
                  <c:v>18</c:v>
                </c:pt>
                <c:pt idx="5">
                  <c:v>31</c:v>
                </c:pt>
                <c:pt idx="6">
                  <c:v>25</c:v>
                </c:pt>
                <c:pt idx="7">
                  <c:v>8</c:v>
                </c:pt>
              </c:numCache>
            </c:numRef>
          </c:val>
          <c:smooth val="0"/>
          <c:extLst>
            <c:ext xmlns:c16="http://schemas.microsoft.com/office/drawing/2014/chart" uri="{C3380CC4-5D6E-409C-BE32-E72D297353CC}">
              <c16:uniqueId val="{00000001-8ADB-4EEA-B008-46E279CEC15F}"/>
            </c:ext>
          </c:extLst>
        </c:ser>
        <c:dLbls>
          <c:showLegendKey val="0"/>
          <c:showVal val="1"/>
          <c:showCatName val="0"/>
          <c:showSerName val="0"/>
          <c:showPercent val="0"/>
          <c:showBubbleSize val="0"/>
        </c:dLbls>
        <c:marker val="1"/>
        <c:smooth val="0"/>
        <c:axId val="2124791935"/>
        <c:axId val="2124818335"/>
      </c:lineChart>
      <c:catAx>
        <c:axId val="2124791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818335"/>
        <c:crosses val="autoZero"/>
        <c:auto val="1"/>
        <c:lblAlgn val="ctr"/>
        <c:lblOffset val="100"/>
        <c:noMultiLvlLbl val="0"/>
      </c:catAx>
      <c:valAx>
        <c:axId val="2124818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4791935"/>
        <c:crosses val="autoZero"/>
        <c:crossBetween val="between"/>
      </c:valAx>
      <c:valAx>
        <c:axId val="19595192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9527871"/>
        <c:crosses val="max"/>
        <c:crossBetween val="between"/>
      </c:valAx>
      <c:catAx>
        <c:axId val="1959527871"/>
        <c:scaling>
          <c:orientation val="minMax"/>
        </c:scaling>
        <c:delete val="1"/>
        <c:axPos val="b"/>
        <c:numFmt formatCode="General" sourceLinked="1"/>
        <c:majorTickMark val="none"/>
        <c:minorTickMark val="none"/>
        <c:tickLblPos val="nextTo"/>
        <c:crossAx val="19595192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chart" Target="../charts/chart16.xml"/><Relationship Id="rId3" Type="http://schemas.openxmlformats.org/officeDocument/2006/relationships/chart" Target="../charts/chart12.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5.png"/><Relationship Id="rId5" Type="http://schemas.openxmlformats.org/officeDocument/2006/relationships/chart" Target="../charts/chart14.xml"/><Relationship Id="rId10" Type="http://schemas.openxmlformats.org/officeDocument/2006/relationships/image" Target="../media/image4.svg"/><Relationship Id="rId4" Type="http://schemas.openxmlformats.org/officeDocument/2006/relationships/chart" Target="../charts/chart13.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403860</xdr:colOff>
      <xdr:row>4</xdr:row>
      <xdr:rowOff>137160</xdr:rowOff>
    </xdr:from>
    <xdr:to>
      <xdr:col>5</xdr:col>
      <xdr:colOff>457200</xdr:colOff>
      <xdr:row>18</xdr:row>
      <xdr:rowOff>38100</xdr:rowOff>
    </xdr:to>
    <xdr:graphicFrame macro="">
      <xdr:nvGraphicFramePr>
        <xdr:cNvPr id="3" name="Chart 2">
          <a:extLst>
            <a:ext uri="{FF2B5EF4-FFF2-40B4-BE49-F238E27FC236}">
              <a16:creationId xmlns:a16="http://schemas.microsoft.com/office/drawing/2014/main" id="{59D86F78-D5BA-4DDA-8FC8-BAE736651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464820</xdr:colOff>
      <xdr:row>18</xdr:row>
      <xdr:rowOff>60960</xdr:rowOff>
    </xdr:from>
    <xdr:to>
      <xdr:col>5</xdr:col>
      <xdr:colOff>312420</xdr:colOff>
      <xdr:row>31</xdr:row>
      <xdr:rowOff>106680</xdr:rowOff>
    </xdr:to>
    <xdr:graphicFrame macro="">
      <xdr:nvGraphicFramePr>
        <xdr:cNvPr id="4" name="Chart 3">
          <a:extLst>
            <a:ext uri="{FF2B5EF4-FFF2-40B4-BE49-F238E27FC236}">
              <a16:creationId xmlns:a16="http://schemas.microsoft.com/office/drawing/2014/main" id="{EBCCF5BA-CB3A-487E-8A43-15B4D25B7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5</xdr:row>
      <xdr:rowOff>83820</xdr:rowOff>
    </xdr:from>
    <xdr:to>
      <xdr:col>11</xdr:col>
      <xdr:colOff>579120</xdr:colOff>
      <xdr:row>15</xdr:row>
      <xdr:rowOff>167640</xdr:rowOff>
    </xdr:to>
    <xdr:graphicFrame macro="">
      <xdr:nvGraphicFramePr>
        <xdr:cNvPr id="5" name="Chart 4">
          <a:extLst>
            <a:ext uri="{FF2B5EF4-FFF2-40B4-BE49-F238E27FC236}">
              <a16:creationId xmlns:a16="http://schemas.microsoft.com/office/drawing/2014/main" id="{5DF4950D-E258-4E5F-8FE5-B042CDB5B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68580</xdr:colOff>
      <xdr:row>18</xdr:row>
      <xdr:rowOff>137160</xdr:rowOff>
    </xdr:from>
    <xdr:to>
      <xdr:col>11</xdr:col>
      <xdr:colOff>274320</xdr:colOff>
      <xdr:row>30</xdr:row>
      <xdr:rowOff>68580</xdr:rowOff>
    </xdr:to>
    <xdr:graphicFrame macro="">
      <xdr:nvGraphicFramePr>
        <xdr:cNvPr id="6" name="Chart 5">
          <a:extLst>
            <a:ext uri="{FF2B5EF4-FFF2-40B4-BE49-F238E27FC236}">
              <a16:creationId xmlns:a16="http://schemas.microsoft.com/office/drawing/2014/main" id="{5401F2F2-ACB9-4A62-8A18-6606455D1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182880</xdr:colOff>
      <xdr:row>5</xdr:row>
      <xdr:rowOff>60960</xdr:rowOff>
    </xdr:from>
    <xdr:to>
      <xdr:col>16</xdr:col>
      <xdr:colOff>533400</xdr:colOff>
      <xdr:row>16</xdr:row>
      <xdr:rowOff>167640</xdr:rowOff>
    </xdr:to>
    <xdr:graphicFrame macro="">
      <xdr:nvGraphicFramePr>
        <xdr:cNvPr id="7" name="Chart 6">
          <a:extLst>
            <a:ext uri="{FF2B5EF4-FFF2-40B4-BE49-F238E27FC236}">
              <a16:creationId xmlns:a16="http://schemas.microsoft.com/office/drawing/2014/main" id="{1168EB99-2B3D-4CF0-A955-E05D41BD8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xdr:colOff>
      <xdr:row>19</xdr:row>
      <xdr:rowOff>7620</xdr:rowOff>
    </xdr:from>
    <xdr:to>
      <xdr:col>17</xdr:col>
      <xdr:colOff>106680</xdr:colOff>
      <xdr:row>29</xdr:row>
      <xdr:rowOff>15240</xdr:rowOff>
    </xdr:to>
    <xdr:graphicFrame macro="">
      <xdr:nvGraphicFramePr>
        <xdr:cNvPr id="8" name="Chart 7">
          <a:extLst>
            <a:ext uri="{FF2B5EF4-FFF2-40B4-BE49-F238E27FC236}">
              <a16:creationId xmlns:a16="http://schemas.microsoft.com/office/drawing/2014/main" id="{011BA677-D280-45CA-B575-73608511A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289560</xdr:colOff>
      <xdr:row>19</xdr:row>
      <xdr:rowOff>91440</xdr:rowOff>
    </xdr:from>
    <xdr:to>
      <xdr:col>21</xdr:col>
      <xdr:colOff>182880</xdr:colOff>
      <xdr:row>28</xdr:row>
      <xdr:rowOff>144780</xdr:rowOff>
    </xdr:to>
    <xdr:graphicFrame macro="">
      <xdr:nvGraphicFramePr>
        <xdr:cNvPr id="9" name="Chart 8">
          <a:extLst>
            <a:ext uri="{FF2B5EF4-FFF2-40B4-BE49-F238E27FC236}">
              <a16:creationId xmlns:a16="http://schemas.microsoft.com/office/drawing/2014/main" id="{7CB5DD24-1731-4435-9687-3984457C9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563880</xdr:colOff>
      <xdr:row>5</xdr:row>
      <xdr:rowOff>45720</xdr:rowOff>
    </xdr:from>
    <xdr:to>
      <xdr:col>22</xdr:col>
      <xdr:colOff>556260</xdr:colOff>
      <xdr:row>15</xdr:row>
      <xdr:rowOff>87630</xdr:rowOff>
    </xdr:to>
    <xdr:graphicFrame macro="">
      <xdr:nvGraphicFramePr>
        <xdr:cNvPr id="2" name="Chart 1">
          <a:extLst>
            <a:ext uri="{FF2B5EF4-FFF2-40B4-BE49-F238E27FC236}">
              <a16:creationId xmlns:a16="http://schemas.microsoft.com/office/drawing/2014/main" id="{7979F1D0-9652-4F9A-A52A-8579625C6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251460</xdr:colOff>
      <xdr:row>18</xdr:row>
      <xdr:rowOff>15240</xdr:rowOff>
    </xdr:from>
    <xdr:to>
      <xdr:col>26</xdr:col>
      <xdr:colOff>175260</xdr:colOff>
      <xdr:row>32</xdr:row>
      <xdr:rowOff>137160</xdr:rowOff>
    </xdr:to>
    <xdr:graphicFrame macro="">
      <xdr:nvGraphicFramePr>
        <xdr:cNvPr id="10" name="Chart 9">
          <a:extLst>
            <a:ext uri="{FF2B5EF4-FFF2-40B4-BE49-F238E27FC236}">
              <a16:creationId xmlns:a16="http://schemas.microsoft.com/office/drawing/2014/main" id="{3D08289E-D063-4EA3-B742-7315C0B1B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24</xdr:col>
      <xdr:colOff>38100</xdr:colOff>
      <xdr:row>2</xdr:row>
      <xdr:rowOff>121920</xdr:rowOff>
    </xdr:to>
    <xdr:sp macro="" textlink="">
      <xdr:nvSpPr>
        <xdr:cNvPr id="2" name="Rectangle 1">
          <a:extLst>
            <a:ext uri="{FF2B5EF4-FFF2-40B4-BE49-F238E27FC236}">
              <a16:creationId xmlns:a16="http://schemas.microsoft.com/office/drawing/2014/main" id="{12D9FB37-01D4-6A0F-70CC-F57A464F5AF2}"/>
            </a:ext>
          </a:extLst>
        </xdr:cNvPr>
        <xdr:cNvSpPr/>
      </xdr:nvSpPr>
      <xdr:spPr>
        <a:xfrm>
          <a:off x="15240" y="0"/>
          <a:ext cx="14135100" cy="48768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4</xdr:col>
      <xdr:colOff>213360</xdr:colOff>
      <xdr:row>28</xdr:row>
      <xdr:rowOff>38100</xdr:rowOff>
    </xdr:to>
    <xdr:sp macro="" textlink="">
      <xdr:nvSpPr>
        <xdr:cNvPr id="3" name="Rectangle: Rounded Corners 2">
          <a:extLst>
            <a:ext uri="{FF2B5EF4-FFF2-40B4-BE49-F238E27FC236}">
              <a16:creationId xmlns:a16="http://schemas.microsoft.com/office/drawing/2014/main" id="{40B713EC-CBAA-BBDA-CA41-84937BE49435}"/>
            </a:ext>
          </a:extLst>
        </xdr:cNvPr>
        <xdr:cNvSpPr/>
      </xdr:nvSpPr>
      <xdr:spPr>
        <a:xfrm>
          <a:off x="0" y="0"/>
          <a:ext cx="2133600" cy="5158740"/>
        </a:xfrm>
        <a:prstGeom prst="roundRect">
          <a:avLst>
            <a:gd name="adj" fmla="val 953"/>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274320</xdr:colOff>
      <xdr:row>3</xdr:row>
      <xdr:rowOff>7620</xdr:rowOff>
    </xdr:from>
    <xdr:to>
      <xdr:col>7</xdr:col>
      <xdr:colOff>251460</xdr:colOff>
      <xdr:row>7</xdr:row>
      <xdr:rowOff>7620</xdr:rowOff>
    </xdr:to>
    <xdr:sp macro="" textlink="">
      <xdr:nvSpPr>
        <xdr:cNvPr id="5" name="Rectangle 4">
          <a:extLst>
            <a:ext uri="{FF2B5EF4-FFF2-40B4-BE49-F238E27FC236}">
              <a16:creationId xmlns:a16="http://schemas.microsoft.com/office/drawing/2014/main" id="{4DEFC31C-40AF-99C8-53F4-60F4D34C4941}"/>
            </a:ext>
          </a:extLst>
        </xdr:cNvPr>
        <xdr:cNvSpPr/>
      </xdr:nvSpPr>
      <xdr:spPr>
        <a:xfrm>
          <a:off x="2194560" y="556260"/>
          <a:ext cx="1805940" cy="731520"/>
        </a:xfrm>
        <a:prstGeom prst="rect">
          <a:avLst/>
        </a:prstGeom>
        <a:solidFill>
          <a:srgbClr val="F2166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335280</xdr:colOff>
      <xdr:row>3</xdr:row>
      <xdr:rowOff>7620</xdr:rowOff>
    </xdr:from>
    <xdr:to>
      <xdr:col>10</xdr:col>
      <xdr:colOff>312420</xdr:colOff>
      <xdr:row>7</xdr:row>
      <xdr:rowOff>7620</xdr:rowOff>
    </xdr:to>
    <xdr:sp macro="" textlink="">
      <xdr:nvSpPr>
        <xdr:cNvPr id="6" name="Rectangle 5">
          <a:extLst>
            <a:ext uri="{FF2B5EF4-FFF2-40B4-BE49-F238E27FC236}">
              <a16:creationId xmlns:a16="http://schemas.microsoft.com/office/drawing/2014/main" id="{03831EE6-4992-9297-4959-96FF33C31C71}"/>
            </a:ext>
          </a:extLst>
        </xdr:cNvPr>
        <xdr:cNvSpPr/>
      </xdr:nvSpPr>
      <xdr:spPr>
        <a:xfrm>
          <a:off x="4084320" y="556260"/>
          <a:ext cx="1805940" cy="731520"/>
        </a:xfrm>
        <a:prstGeom prst="rect">
          <a:avLst/>
        </a:prstGeom>
        <a:solidFill>
          <a:srgbClr val="65A3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381000</xdr:colOff>
      <xdr:row>3</xdr:row>
      <xdr:rowOff>7620</xdr:rowOff>
    </xdr:from>
    <xdr:to>
      <xdr:col>13</xdr:col>
      <xdr:colOff>358140</xdr:colOff>
      <xdr:row>7</xdr:row>
      <xdr:rowOff>7620</xdr:rowOff>
    </xdr:to>
    <xdr:sp macro="" textlink="">
      <xdr:nvSpPr>
        <xdr:cNvPr id="7" name="Rectangle 6">
          <a:extLst>
            <a:ext uri="{FF2B5EF4-FFF2-40B4-BE49-F238E27FC236}">
              <a16:creationId xmlns:a16="http://schemas.microsoft.com/office/drawing/2014/main" id="{2490D1EF-5FC4-2F79-FB0E-E689BE85FC19}"/>
            </a:ext>
          </a:extLst>
        </xdr:cNvPr>
        <xdr:cNvSpPr/>
      </xdr:nvSpPr>
      <xdr:spPr>
        <a:xfrm>
          <a:off x="5958840" y="556260"/>
          <a:ext cx="1805940" cy="73152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365760</xdr:colOff>
      <xdr:row>18</xdr:row>
      <xdr:rowOff>38100</xdr:rowOff>
    </xdr:from>
    <xdr:to>
      <xdr:col>14</xdr:col>
      <xdr:colOff>106680</xdr:colOff>
      <xdr:row>28</xdr:row>
      <xdr:rowOff>22860</xdr:rowOff>
    </xdr:to>
    <xdr:graphicFrame macro="">
      <xdr:nvGraphicFramePr>
        <xdr:cNvPr id="11" name="Chart 10">
          <a:extLst>
            <a:ext uri="{FF2B5EF4-FFF2-40B4-BE49-F238E27FC236}">
              <a16:creationId xmlns:a16="http://schemas.microsoft.com/office/drawing/2014/main" id="{E39D4D03-58F9-4F70-AFEA-8A0F6A714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487680</xdr:colOff>
      <xdr:row>7</xdr:row>
      <xdr:rowOff>30480</xdr:rowOff>
    </xdr:from>
    <xdr:to>
      <xdr:col>23</xdr:col>
      <xdr:colOff>579120</xdr:colOff>
      <xdr:row>18</xdr:row>
      <xdr:rowOff>0</xdr:rowOff>
    </xdr:to>
    <xdr:graphicFrame macro="">
      <xdr:nvGraphicFramePr>
        <xdr:cNvPr id="12" name="Chart 11">
          <a:extLst>
            <a:ext uri="{FF2B5EF4-FFF2-40B4-BE49-F238E27FC236}">
              <a16:creationId xmlns:a16="http://schemas.microsoft.com/office/drawing/2014/main" id="{EF47C679-E168-47CD-B016-C68B48B2C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243840</xdr:colOff>
      <xdr:row>7</xdr:row>
      <xdr:rowOff>60960</xdr:rowOff>
    </xdr:from>
    <xdr:to>
      <xdr:col>18</xdr:col>
      <xdr:colOff>396240</xdr:colOff>
      <xdr:row>18</xdr:row>
      <xdr:rowOff>7620</xdr:rowOff>
    </xdr:to>
    <xdr:graphicFrame macro="">
      <xdr:nvGraphicFramePr>
        <xdr:cNvPr id="13" name="Chart 12">
          <a:extLst>
            <a:ext uri="{FF2B5EF4-FFF2-40B4-BE49-F238E27FC236}">
              <a16:creationId xmlns:a16="http://schemas.microsoft.com/office/drawing/2014/main" id="{494FAAF8-FB8F-469B-BF08-AD0ECC019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243840</xdr:colOff>
      <xdr:row>18</xdr:row>
      <xdr:rowOff>22860</xdr:rowOff>
    </xdr:from>
    <xdr:to>
      <xdr:col>9</xdr:col>
      <xdr:colOff>312420</xdr:colOff>
      <xdr:row>28</xdr:row>
      <xdr:rowOff>30480</xdr:rowOff>
    </xdr:to>
    <xdr:graphicFrame macro="">
      <xdr:nvGraphicFramePr>
        <xdr:cNvPr id="17" name="Chart 16">
          <a:extLst>
            <a:ext uri="{FF2B5EF4-FFF2-40B4-BE49-F238E27FC236}">
              <a16:creationId xmlns:a16="http://schemas.microsoft.com/office/drawing/2014/main" id="{4D1D0E23-3424-4FAA-8FCA-A4D93E8E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449580</xdr:colOff>
      <xdr:row>2</xdr:row>
      <xdr:rowOff>167641</xdr:rowOff>
    </xdr:from>
    <xdr:to>
      <xdr:col>21</xdr:col>
      <xdr:colOff>449580</xdr:colOff>
      <xdr:row>6</xdr:row>
      <xdr:rowOff>156121</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BBDF7282-0E22-48D7-A500-D2482F369C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04220" y="533401"/>
              <a:ext cx="18288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160020</xdr:rowOff>
    </xdr:from>
    <xdr:to>
      <xdr:col>4</xdr:col>
      <xdr:colOff>213360</xdr:colOff>
      <xdr:row>17</xdr:row>
      <xdr:rowOff>137159</xdr:rowOff>
    </xdr:to>
    <mc:AlternateContent xmlns:mc="http://schemas.openxmlformats.org/markup-compatibility/2006" xmlns:a14="http://schemas.microsoft.com/office/drawing/2010/main">
      <mc:Choice Requires="a14">
        <xdr:graphicFrame macro="">
          <xdr:nvGraphicFramePr>
            <xdr:cNvPr id="21" name="Store_Name 1">
              <a:extLst>
                <a:ext uri="{FF2B5EF4-FFF2-40B4-BE49-F238E27FC236}">
                  <a16:creationId xmlns:a16="http://schemas.microsoft.com/office/drawing/2014/main" id="{DF4DE224-4958-416B-8DC3-33910C25B8D0}"/>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0" y="1988820"/>
              <a:ext cx="213360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419100</xdr:colOff>
      <xdr:row>3</xdr:row>
      <xdr:rowOff>1</xdr:rowOff>
    </xdr:from>
    <xdr:to>
      <xdr:col>18</xdr:col>
      <xdr:colOff>381000</xdr:colOff>
      <xdr:row>7</xdr:row>
      <xdr:rowOff>15240</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A479162A-8321-4B6D-9C8F-7B7D5C12748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25740" y="548641"/>
              <a:ext cx="3009900" cy="746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15240</xdr:rowOff>
    </xdr:from>
    <xdr:to>
      <xdr:col>4</xdr:col>
      <xdr:colOff>213360</xdr:colOff>
      <xdr:row>28</xdr:row>
      <xdr:rowOff>38100</xdr:rowOff>
    </xdr:to>
    <mc:AlternateContent xmlns:mc="http://schemas.openxmlformats.org/markup-compatibility/2006" xmlns:a14="http://schemas.microsoft.com/office/drawing/2010/main">
      <mc:Choice Requires="a14">
        <xdr:graphicFrame macro="">
          <xdr:nvGraphicFramePr>
            <xdr:cNvPr id="23" name="Product_Name 1">
              <a:extLst>
                <a:ext uri="{FF2B5EF4-FFF2-40B4-BE49-F238E27FC236}">
                  <a16:creationId xmlns:a16="http://schemas.microsoft.com/office/drawing/2014/main" id="{A534B9F2-D61F-4552-A731-0D465129A861}"/>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0" y="3307080"/>
              <a:ext cx="213360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129540</xdr:rowOff>
    </xdr:from>
    <xdr:to>
      <xdr:col>4</xdr:col>
      <xdr:colOff>213360</xdr:colOff>
      <xdr:row>10</xdr:row>
      <xdr:rowOff>106680</xdr:rowOff>
    </xdr:to>
    <mc:AlternateContent xmlns:mc="http://schemas.openxmlformats.org/markup-compatibility/2006" xmlns:a14="http://schemas.microsoft.com/office/drawing/2010/main">
      <mc:Choice Requires="a14">
        <xdr:graphicFrame macro="">
          <xdr:nvGraphicFramePr>
            <xdr:cNvPr id="24" name="City 1">
              <a:extLst>
                <a:ext uri="{FF2B5EF4-FFF2-40B4-BE49-F238E27FC236}">
                  <a16:creationId xmlns:a16="http://schemas.microsoft.com/office/drawing/2014/main" id="{230459F6-8616-43CA-832B-010B44121B3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312420"/>
              <a:ext cx="21336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518160</xdr:colOff>
      <xdr:row>2</xdr:row>
      <xdr:rowOff>152401</xdr:rowOff>
    </xdr:from>
    <xdr:to>
      <xdr:col>23</xdr:col>
      <xdr:colOff>601980</xdr:colOff>
      <xdr:row>6</xdr:row>
      <xdr:rowOff>160020</xdr:rowOff>
    </xdr:to>
    <mc:AlternateContent xmlns:mc="http://schemas.openxmlformats.org/markup-compatibility/2006" xmlns:a14="http://schemas.microsoft.com/office/drawing/2010/main">
      <mc:Choice Requires="a14">
        <xdr:graphicFrame macro="">
          <xdr:nvGraphicFramePr>
            <xdr:cNvPr id="25" name="Gender 1">
              <a:extLst>
                <a:ext uri="{FF2B5EF4-FFF2-40B4-BE49-F238E27FC236}">
                  <a16:creationId xmlns:a16="http://schemas.microsoft.com/office/drawing/2014/main" id="{9A32FACA-73F6-41EC-9F09-B2737E29066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801600" y="518161"/>
              <a:ext cx="1303020" cy="739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205740</xdr:colOff>
      <xdr:row>4</xdr:row>
      <xdr:rowOff>121920</xdr:rowOff>
    </xdr:from>
    <xdr:ext cx="1295400" cy="320040"/>
    <xdr:sp macro="" textlink="">
      <xdr:nvSpPr>
        <xdr:cNvPr id="26" name="TextBox 25">
          <a:extLst>
            <a:ext uri="{FF2B5EF4-FFF2-40B4-BE49-F238E27FC236}">
              <a16:creationId xmlns:a16="http://schemas.microsoft.com/office/drawing/2014/main" id="{10820955-1085-3CFA-DE97-5B64CDC1BE10}"/>
            </a:ext>
          </a:extLst>
        </xdr:cNvPr>
        <xdr:cNvSpPr txBox="1"/>
      </xdr:nvSpPr>
      <xdr:spPr>
        <a:xfrm>
          <a:off x="2735580" y="853440"/>
          <a:ext cx="129540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i="0" u="none" strike="noStrike">
              <a:solidFill>
                <a:srgbClr val="FFC000"/>
              </a:solidFill>
              <a:effectLst/>
              <a:latin typeface="+mn-lt"/>
              <a:ea typeface="+mn-ea"/>
              <a:cs typeface="+mn-cs"/>
            </a:rPr>
            <a:t>158248.95</a:t>
          </a:r>
          <a:r>
            <a:rPr lang="en-IN" sz="2000" b="1">
              <a:solidFill>
                <a:srgbClr val="FFC000"/>
              </a:solidFill>
              <a:effectLst/>
            </a:rPr>
            <a:t> </a:t>
          </a:r>
          <a:endParaRPr lang="en-IN" sz="2000" b="1">
            <a:solidFill>
              <a:srgbClr val="FFC000"/>
            </a:solidFill>
          </a:endParaRPr>
        </a:p>
      </xdr:txBody>
    </xdr:sp>
    <xdr:clientData/>
  </xdr:oneCellAnchor>
  <xdr:oneCellAnchor>
    <xdr:from>
      <xdr:col>8</xdr:col>
      <xdr:colOff>205740</xdr:colOff>
      <xdr:row>4</xdr:row>
      <xdr:rowOff>144780</xdr:rowOff>
    </xdr:from>
    <xdr:ext cx="1295400" cy="320040"/>
    <xdr:sp macro="" textlink="">
      <xdr:nvSpPr>
        <xdr:cNvPr id="33" name="TextBox 32">
          <a:extLst>
            <a:ext uri="{FF2B5EF4-FFF2-40B4-BE49-F238E27FC236}">
              <a16:creationId xmlns:a16="http://schemas.microsoft.com/office/drawing/2014/main" id="{A8CB7A49-33C1-F6B8-1613-F7A25AAFFFFB}"/>
            </a:ext>
          </a:extLst>
        </xdr:cNvPr>
        <xdr:cNvSpPr txBox="1"/>
      </xdr:nvSpPr>
      <xdr:spPr>
        <a:xfrm>
          <a:off x="4564380" y="876300"/>
          <a:ext cx="129540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b="1" i="0" u="none" strike="noStrike">
              <a:solidFill>
                <a:srgbClr val="FFC000"/>
              </a:solidFill>
              <a:effectLst/>
              <a:latin typeface="+mn-lt"/>
              <a:ea typeface="+mn-ea"/>
              <a:cs typeface="+mn-cs"/>
            </a:rPr>
            <a:t>597</a:t>
          </a:r>
          <a:r>
            <a:rPr lang="en-IN" sz="2800">
              <a:solidFill>
                <a:srgbClr val="FFC000"/>
              </a:solidFill>
              <a:effectLst/>
            </a:rPr>
            <a:t> </a:t>
          </a:r>
          <a:r>
            <a:rPr lang="en-IN" sz="2800" b="1">
              <a:solidFill>
                <a:srgbClr val="FFC000"/>
              </a:solidFill>
              <a:effectLst/>
            </a:rPr>
            <a:t> </a:t>
          </a:r>
          <a:endParaRPr lang="en-IN" sz="2800" b="1">
            <a:solidFill>
              <a:srgbClr val="FFC000"/>
            </a:solidFill>
          </a:endParaRPr>
        </a:p>
      </xdr:txBody>
    </xdr:sp>
    <xdr:clientData/>
  </xdr:oneCellAnchor>
  <xdr:oneCellAnchor>
    <xdr:from>
      <xdr:col>11</xdr:col>
      <xdr:colOff>228600</xdr:colOff>
      <xdr:row>4</xdr:row>
      <xdr:rowOff>144780</xdr:rowOff>
    </xdr:from>
    <xdr:ext cx="1295400" cy="320040"/>
    <xdr:sp macro="" textlink="">
      <xdr:nvSpPr>
        <xdr:cNvPr id="34" name="TextBox 33">
          <a:extLst>
            <a:ext uri="{FF2B5EF4-FFF2-40B4-BE49-F238E27FC236}">
              <a16:creationId xmlns:a16="http://schemas.microsoft.com/office/drawing/2014/main" id="{D7766049-B061-34E2-F6E7-0A101B6BE2F4}"/>
            </a:ext>
          </a:extLst>
        </xdr:cNvPr>
        <xdr:cNvSpPr txBox="1"/>
      </xdr:nvSpPr>
      <xdr:spPr>
        <a:xfrm>
          <a:off x="6416040" y="876300"/>
          <a:ext cx="129540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b="1" i="0" u="none" strike="noStrike">
              <a:solidFill>
                <a:srgbClr val="FFC000"/>
              </a:solidFill>
              <a:effectLst/>
              <a:latin typeface="+mn-lt"/>
              <a:ea typeface="+mn-ea"/>
              <a:cs typeface="+mn-cs"/>
            </a:rPr>
            <a:t>500</a:t>
          </a:r>
          <a:r>
            <a:rPr lang="en-IN" sz="2800">
              <a:solidFill>
                <a:srgbClr val="FFC000"/>
              </a:solidFill>
              <a:effectLst/>
            </a:rPr>
            <a:t>  </a:t>
          </a:r>
          <a:r>
            <a:rPr lang="en-IN" sz="2800" b="1">
              <a:solidFill>
                <a:srgbClr val="FFC000"/>
              </a:solidFill>
              <a:effectLst/>
            </a:rPr>
            <a:t> </a:t>
          </a:r>
          <a:endParaRPr lang="en-IN" sz="2800" b="1">
            <a:solidFill>
              <a:srgbClr val="FFC000"/>
            </a:solidFill>
          </a:endParaRPr>
        </a:p>
      </xdr:txBody>
    </xdr:sp>
    <xdr:clientData/>
  </xdr:oneCellAnchor>
  <xdr:twoCellAnchor>
    <xdr:from>
      <xdr:col>4</xdr:col>
      <xdr:colOff>281940</xdr:colOff>
      <xdr:row>7</xdr:row>
      <xdr:rowOff>91440</xdr:rowOff>
    </xdr:from>
    <xdr:to>
      <xdr:col>10</xdr:col>
      <xdr:colOff>15240</xdr:colOff>
      <xdr:row>17</xdr:row>
      <xdr:rowOff>175260</xdr:rowOff>
    </xdr:to>
    <xdr:graphicFrame macro="">
      <xdr:nvGraphicFramePr>
        <xdr:cNvPr id="35" name="Chart 34">
          <a:extLst>
            <a:ext uri="{FF2B5EF4-FFF2-40B4-BE49-F238E27FC236}">
              <a16:creationId xmlns:a16="http://schemas.microsoft.com/office/drawing/2014/main" id="{8C0ED305-B25E-452F-89D4-9F3919F50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76200</xdr:colOff>
      <xdr:row>7</xdr:row>
      <xdr:rowOff>76200</xdr:rowOff>
    </xdr:from>
    <xdr:to>
      <xdr:col>14</xdr:col>
      <xdr:colOff>144780</xdr:colOff>
      <xdr:row>17</xdr:row>
      <xdr:rowOff>175260</xdr:rowOff>
    </xdr:to>
    <xdr:graphicFrame macro="">
      <xdr:nvGraphicFramePr>
        <xdr:cNvPr id="37" name="Chart 36">
          <a:extLst>
            <a:ext uri="{FF2B5EF4-FFF2-40B4-BE49-F238E27FC236}">
              <a16:creationId xmlns:a16="http://schemas.microsoft.com/office/drawing/2014/main" id="{BCA2B053-B614-0AC3-7BDA-1D1DC735F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11</xdr:col>
      <xdr:colOff>83820</xdr:colOff>
      <xdr:row>2</xdr:row>
      <xdr:rowOff>175260</xdr:rowOff>
    </xdr:from>
    <xdr:ext cx="1516380" cy="342786"/>
    <xdr:sp macro="" textlink="">
      <xdr:nvSpPr>
        <xdr:cNvPr id="4" name="TextBox 3">
          <a:extLst>
            <a:ext uri="{FF2B5EF4-FFF2-40B4-BE49-F238E27FC236}">
              <a16:creationId xmlns:a16="http://schemas.microsoft.com/office/drawing/2014/main" id="{3FBDBDB6-D081-B9FF-0886-063FF1DA9356}"/>
            </a:ext>
          </a:extLst>
        </xdr:cNvPr>
        <xdr:cNvSpPr txBox="1"/>
      </xdr:nvSpPr>
      <xdr:spPr>
        <a:xfrm>
          <a:off x="6271260" y="541020"/>
          <a:ext cx="15163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r>
            <a:rPr lang="en-IN" sz="1600" b="1">
              <a:solidFill>
                <a:schemeClr val="bg1"/>
              </a:solidFill>
            </a:rPr>
            <a:t>Total Customer</a:t>
          </a:r>
        </a:p>
      </xdr:txBody>
    </xdr:sp>
    <xdr:clientData/>
  </xdr:oneCellAnchor>
  <xdr:oneCellAnchor>
    <xdr:from>
      <xdr:col>7</xdr:col>
      <xdr:colOff>487680</xdr:colOff>
      <xdr:row>3</xdr:row>
      <xdr:rowOff>15645</xdr:rowOff>
    </xdr:from>
    <xdr:ext cx="1661160" cy="311496"/>
    <xdr:sp macro="" textlink="">
      <xdr:nvSpPr>
        <xdr:cNvPr id="8" name="TextBox 7">
          <a:extLst>
            <a:ext uri="{FF2B5EF4-FFF2-40B4-BE49-F238E27FC236}">
              <a16:creationId xmlns:a16="http://schemas.microsoft.com/office/drawing/2014/main" id="{F119F949-8D26-294C-5468-EAA97FC88989}"/>
            </a:ext>
          </a:extLst>
        </xdr:cNvPr>
        <xdr:cNvSpPr txBox="1"/>
      </xdr:nvSpPr>
      <xdr:spPr>
        <a:xfrm>
          <a:off x="4236720" y="564285"/>
          <a:ext cx="16611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r>
            <a:rPr lang="en-IN" sz="1400" b="1">
              <a:solidFill>
                <a:schemeClr val="bg1"/>
              </a:solidFill>
            </a:rPr>
            <a:t>Total Quantity</a:t>
          </a:r>
          <a:r>
            <a:rPr lang="en-IN" sz="1400" b="1" baseline="0">
              <a:solidFill>
                <a:schemeClr val="bg1"/>
              </a:solidFill>
            </a:rPr>
            <a:t> Sold</a:t>
          </a:r>
          <a:endParaRPr lang="en-IN" sz="1400" b="1">
            <a:solidFill>
              <a:schemeClr val="bg1"/>
            </a:solidFill>
          </a:endParaRPr>
        </a:p>
      </xdr:txBody>
    </xdr:sp>
    <xdr:clientData/>
  </xdr:oneCellAnchor>
  <xdr:oneCellAnchor>
    <xdr:from>
      <xdr:col>4</xdr:col>
      <xdr:colOff>556260</xdr:colOff>
      <xdr:row>3</xdr:row>
      <xdr:rowOff>7620</xdr:rowOff>
    </xdr:from>
    <xdr:ext cx="1516380" cy="342786"/>
    <xdr:sp macro="" textlink="">
      <xdr:nvSpPr>
        <xdr:cNvPr id="10" name="TextBox 9">
          <a:extLst>
            <a:ext uri="{FF2B5EF4-FFF2-40B4-BE49-F238E27FC236}">
              <a16:creationId xmlns:a16="http://schemas.microsoft.com/office/drawing/2014/main" id="{50F567F6-2937-B7CE-2921-D7B0A82B37B3}"/>
            </a:ext>
          </a:extLst>
        </xdr:cNvPr>
        <xdr:cNvSpPr txBox="1"/>
      </xdr:nvSpPr>
      <xdr:spPr>
        <a:xfrm>
          <a:off x="2476500" y="556260"/>
          <a:ext cx="15163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r>
            <a:rPr lang="en-IN" sz="1600" b="1">
              <a:solidFill>
                <a:schemeClr val="bg1"/>
              </a:solidFill>
            </a:rPr>
            <a:t>Total Sales</a:t>
          </a:r>
        </a:p>
      </xdr:txBody>
    </xdr:sp>
    <xdr:clientData/>
  </xdr:oneCellAnchor>
  <xdr:oneCellAnchor>
    <xdr:from>
      <xdr:col>8</xdr:col>
      <xdr:colOff>304800</xdr:colOff>
      <xdr:row>0</xdr:row>
      <xdr:rowOff>15240</xdr:rowOff>
    </xdr:from>
    <xdr:ext cx="7490460" cy="468000"/>
    <xdr:sp macro="" textlink="">
      <xdr:nvSpPr>
        <xdr:cNvPr id="14" name="TextBox 13">
          <a:extLst>
            <a:ext uri="{FF2B5EF4-FFF2-40B4-BE49-F238E27FC236}">
              <a16:creationId xmlns:a16="http://schemas.microsoft.com/office/drawing/2014/main" id="{80146D43-63A2-439B-266D-672269683F3C}"/>
            </a:ext>
          </a:extLst>
        </xdr:cNvPr>
        <xdr:cNvSpPr txBox="1"/>
      </xdr:nvSpPr>
      <xdr:spPr>
        <a:xfrm>
          <a:off x="4663440" y="15240"/>
          <a:ext cx="7490460" cy="468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cap="none" spc="0">
              <a:ln w="9525">
                <a:solidFill>
                  <a:schemeClr val="bg1"/>
                </a:solidFill>
                <a:prstDash val="solid"/>
              </a:ln>
              <a:solidFill>
                <a:schemeClr val="accent1">
                  <a:lumMod val="50000"/>
                </a:schemeClr>
              </a:solidFill>
              <a:effectLst/>
              <a:latin typeface="Cambria" panose="02040503050406030204" pitchFamily="18" charset="0"/>
              <a:ea typeface="Cambria" panose="02040503050406030204" pitchFamily="18" charset="0"/>
            </a:rPr>
            <a:t>Retail</a:t>
          </a:r>
          <a:r>
            <a:rPr lang="en-IN" sz="3200" b="1" cap="none" spc="0" baseline="0">
              <a:ln w="9525">
                <a:solidFill>
                  <a:schemeClr val="bg1"/>
                </a:solidFill>
                <a:prstDash val="solid"/>
              </a:ln>
              <a:solidFill>
                <a:schemeClr val="accent1">
                  <a:lumMod val="50000"/>
                </a:schemeClr>
              </a:solidFill>
              <a:effectLst/>
              <a:latin typeface="Cambria" panose="02040503050406030204" pitchFamily="18" charset="0"/>
              <a:ea typeface="Cambria" panose="02040503050406030204" pitchFamily="18" charset="0"/>
            </a:rPr>
            <a:t> Sales Performance Overview</a:t>
          </a:r>
          <a:endParaRPr lang="en-IN" sz="3200" b="1" cap="none" spc="0">
            <a:ln w="9525">
              <a:solidFill>
                <a:schemeClr val="bg1"/>
              </a:solidFill>
              <a:prstDash val="solid"/>
            </a:ln>
            <a:solidFill>
              <a:schemeClr val="accent1">
                <a:lumMod val="50000"/>
              </a:schemeClr>
            </a:solidFill>
            <a:effectLst/>
            <a:latin typeface="Cambria" panose="02040503050406030204" pitchFamily="18" charset="0"/>
            <a:ea typeface="Cambria" panose="02040503050406030204" pitchFamily="18" charset="0"/>
          </a:endParaRPr>
        </a:p>
      </xdr:txBody>
    </xdr:sp>
    <xdr:clientData/>
  </xdr:oneCellAnchor>
  <xdr:twoCellAnchor editAs="oneCell">
    <xdr:from>
      <xdr:col>4</xdr:col>
      <xdr:colOff>358140</xdr:colOff>
      <xdr:row>3</xdr:row>
      <xdr:rowOff>121920</xdr:rowOff>
    </xdr:from>
    <xdr:to>
      <xdr:col>5</xdr:col>
      <xdr:colOff>245700</xdr:colOff>
      <xdr:row>6</xdr:row>
      <xdr:rowOff>70440</xdr:rowOff>
    </xdr:to>
    <xdr:pic>
      <xdr:nvPicPr>
        <xdr:cNvPr id="29" name="Graphic 28" descr="Coins with solid fill">
          <a:extLst>
            <a:ext uri="{FF2B5EF4-FFF2-40B4-BE49-F238E27FC236}">
              <a16:creationId xmlns:a16="http://schemas.microsoft.com/office/drawing/2014/main" id="{D268CB2E-0043-4E3F-D6E9-50AA85040D9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78380" y="670560"/>
          <a:ext cx="497160" cy="497160"/>
        </a:xfrm>
        <a:prstGeom prst="rect">
          <a:avLst/>
        </a:prstGeom>
      </xdr:spPr>
    </xdr:pic>
    <xdr:clientData/>
  </xdr:twoCellAnchor>
  <xdr:twoCellAnchor editAs="oneCell">
    <xdr:from>
      <xdr:col>10</xdr:col>
      <xdr:colOff>409080</xdr:colOff>
      <xdr:row>4</xdr:row>
      <xdr:rowOff>28080</xdr:rowOff>
    </xdr:from>
    <xdr:to>
      <xdr:col>11</xdr:col>
      <xdr:colOff>342900</xdr:colOff>
      <xdr:row>6</xdr:row>
      <xdr:rowOff>137160</xdr:rowOff>
    </xdr:to>
    <xdr:pic>
      <xdr:nvPicPr>
        <xdr:cNvPr id="31" name="Graphic 30" descr="Group of people with solid fill">
          <a:extLst>
            <a:ext uri="{FF2B5EF4-FFF2-40B4-BE49-F238E27FC236}">
              <a16:creationId xmlns:a16="http://schemas.microsoft.com/office/drawing/2014/main" id="{DE46BD33-3A50-3A06-DD9C-BE003AADD1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86920" y="759600"/>
          <a:ext cx="543420" cy="474840"/>
        </a:xfrm>
        <a:prstGeom prst="rect">
          <a:avLst/>
        </a:prstGeom>
      </xdr:spPr>
    </xdr:pic>
    <xdr:clientData/>
  </xdr:twoCellAnchor>
  <xdr:twoCellAnchor editAs="oneCell">
    <xdr:from>
      <xdr:col>7</xdr:col>
      <xdr:colOff>236220</xdr:colOff>
      <xdr:row>0</xdr:row>
      <xdr:rowOff>0</xdr:rowOff>
    </xdr:from>
    <xdr:to>
      <xdr:col>8</xdr:col>
      <xdr:colOff>556260</xdr:colOff>
      <xdr:row>2</xdr:row>
      <xdr:rowOff>144780</xdr:rowOff>
    </xdr:to>
    <xdr:pic>
      <xdr:nvPicPr>
        <xdr:cNvPr id="49" name="Picture 48">
          <a:extLst>
            <a:ext uri="{FF2B5EF4-FFF2-40B4-BE49-F238E27FC236}">
              <a16:creationId xmlns:a16="http://schemas.microsoft.com/office/drawing/2014/main" id="{AA86E578-D548-BB3B-BB0E-82014A2B42F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985260" y="0"/>
          <a:ext cx="929640" cy="510540"/>
        </a:xfrm>
        <a:prstGeom prst="rect">
          <a:avLst/>
        </a:prstGeom>
      </xdr:spPr>
    </xdr:pic>
    <xdr:clientData/>
  </xdr:twoCellAnchor>
  <xdr:twoCellAnchor editAs="oneCell">
    <xdr:from>
      <xdr:col>7</xdr:col>
      <xdr:colOff>492900</xdr:colOff>
      <xdr:row>4</xdr:row>
      <xdr:rowOff>66180</xdr:rowOff>
    </xdr:from>
    <xdr:to>
      <xdr:col>8</xdr:col>
      <xdr:colOff>365760</xdr:colOff>
      <xdr:row>7</xdr:row>
      <xdr:rowOff>0</xdr:rowOff>
    </xdr:to>
    <xdr:pic>
      <xdr:nvPicPr>
        <xdr:cNvPr id="51" name="Picture 50">
          <a:extLst>
            <a:ext uri="{FF2B5EF4-FFF2-40B4-BE49-F238E27FC236}">
              <a16:creationId xmlns:a16="http://schemas.microsoft.com/office/drawing/2014/main" id="{BB76F383-9C75-CD34-FC8C-B5A6EE8A0DD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241940" y="797700"/>
          <a:ext cx="482460" cy="482460"/>
        </a:xfrm>
        <a:prstGeom prst="rect">
          <a:avLst/>
        </a:prstGeom>
      </xdr:spPr>
    </xdr:pic>
    <xdr:clientData/>
  </xdr:twoCellAnchor>
  <xdr:twoCellAnchor>
    <xdr:from>
      <xdr:col>14</xdr:col>
      <xdr:colOff>144780</xdr:colOff>
      <xdr:row>18</xdr:row>
      <xdr:rowOff>38100</xdr:rowOff>
    </xdr:from>
    <xdr:to>
      <xdr:col>23</xdr:col>
      <xdr:colOff>586740</xdr:colOff>
      <xdr:row>28</xdr:row>
      <xdr:rowOff>38100</xdr:rowOff>
    </xdr:to>
    <xdr:graphicFrame macro="">
      <xdr:nvGraphicFramePr>
        <xdr:cNvPr id="16" name="Chart 15">
          <a:extLst>
            <a:ext uri="{FF2B5EF4-FFF2-40B4-BE49-F238E27FC236}">
              <a16:creationId xmlns:a16="http://schemas.microsoft.com/office/drawing/2014/main" id="{26F0D2A4-F17F-47F2-A9BE-68DEA5E80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15240</xdr:colOff>
      <xdr:row>0</xdr:row>
      <xdr:rowOff>15240</xdr:rowOff>
    </xdr:from>
    <xdr:to>
      <xdr:col>4</xdr:col>
      <xdr:colOff>205740</xdr:colOff>
      <xdr:row>1</xdr:row>
      <xdr:rowOff>129540</xdr:rowOff>
    </xdr:to>
    <xdr:sp macro="" textlink="">
      <xdr:nvSpPr>
        <xdr:cNvPr id="18" name="TextBox 17">
          <a:extLst>
            <a:ext uri="{FF2B5EF4-FFF2-40B4-BE49-F238E27FC236}">
              <a16:creationId xmlns:a16="http://schemas.microsoft.com/office/drawing/2014/main" id="{6DB2C98A-EA74-9A0F-72E4-46F82C4204C8}"/>
            </a:ext>
          </a:extLst>
        </xdr:cNvPr>
        <xdr:cNvSpPr txBox="1"/>
      </xdr:nvSpPr>
      <xdr:spPr>
        <a:xfrm>
          <a:off x="15240" y="15240"/>
          <a:ext cx="2110740" cy="2971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Filters to explore data</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3113426" backgroundQuery="1" createdVersion="8" refreshedVersion="8" minRefreshableVersion="3" recordCount="0" supportSubquery="1" supportAdvancedDrill="1" xr:uid="{96AC99A8-CCCE-4CC0-AD36-A881A17B8754}">
  <cacheSource type="external" connectionId="5"/>
  <cacheFields count="3">
    <cacheField name="[Measures].[Sum of Sales]" caption="Sum of Sales" numFmtId="0" hierarchy="32" level="32767"/>
    <cacheField name="[Product_ID].[Product_Name].[Product_Name]" caption="Product_Name" numFmtId="0" hierarchy="9" level="1">
      <sharedItems count="3">
        <s v="Brother Laser Printer"/>
        <s v="Decorative Wall Mirror"/>
        <s v="Fabric Sofa Throw Blanket"/>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2" memberValueDatatype="130" unbalanced="0">
      <fieldsUsage count="2">
        <fieldUsage x="-1"/>
        <fieldUsage x="1"/>
      </fieldsUsage>
    </cacheHierarchy>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8077662038" backgroundQuery="1" createdVersion="8" refreshedVersion="8" minRefreshableVersion="3" recordCount="0" supportSubquery="1" supportAdvancedDrill="1" xr:uid="{F24831F3-3941-48B2-9D5B-6D05C666977C}">
  <cacheSource type="external" connectionId="5"/>
  <cacheFields count="4">
    <cacheField name="[Measures].[Sum of Sales]" caption="Sum of Sales" numFmtId="0" hierarchy="32" level="32767"/>
    <cacheField name="[Customer_ID].[Gender].[Gender]" caption="Gender" numFmtId="0" hierarchy="3" level="1">
      <sharedItems count="2">
        <s v="Female"/>
        <s v="Male"/>
      </sharedItems>
    </cacheField>
    <cacheField name="[Store_ID].[Region].[Region]" caption="Region" numFmtId="0" hierarchy="17" level="1">
      <sharedItems count="4">
        <s v="East"/>
        <s v="North"/>
        <s v="South"/>
        <s v="West"/>
      </sharedItems>
    </cacheField>
    <cacheField name="[Measures].[Count of Quantity]" caption="Count of Quantity" numFmtId="0" hierarchy="35" level="32767"/>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2" memberValueDatatype="130" unbalanced="0">
      <fieldsUsage count="2">
        <fieldUsage x="-1"/>
        <fieldUsage x="1"/>
      </fieldsUsage>
    </cacheHierarchy>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oneField="1" hidden="1">
      <fieldsUsage count="1">
        <fieldUsage x="3"/>
      </fieldsUsage>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19560183" backgroundQuery="1" createdVersion="8" refreshedVersion="8" minRefreshableVersion="3" recordCount="0" supportSubquery="1" supportAdvancedDrill="1" xr:uid="{FB2D2832-202F-42C2-9818-928147B1FEDF}">
  <cacheSource type="external" connectionId="5"/>
  <cacheFields count="3">
    <cacheField name="[Store_ID].[Store_Type].[Store_Type]" caption="Store_Type" numFmtId="0" hierarchy="19" level="1">
      <sharedItems count="3">
        <s v="Flagship"/>
        <s v="Online"/>
        <s v="Outlet"/>
      </sharedItems>
    </cacheField>
    <cacheField name="[Measures].[Sum of Sales]" caption="Sum of Sales" numFmtId="0" hierarchy="32"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2" memberValueDatatype="130" unbalanced="0">
      <fieldsUsage count="2">
        <fieldUsage x="-1"/>
        <fieldUsage x="0"/>
      </fieldsUsage>
    </cacheHierarchy>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7314818" backgroundQuery="1" createdVersion="8" refreshedVersion="8" minRefreshableVersion="3" recordCount="0" supportSubquery="1" supportAdvancedDrill="1" xr:uid="{B8211516-452F-4E4B-BF4B-64A6B276BF17}">
  <cacheSource type="external" connectionId="5"/>
  <cacheFields count="3">
    <cacheField name="[Measures].[Sum of Sales]" caption="Sum of Sales" numFmtId="0" hierarchy="32" level="32767"/>
    <cacheField name="[Product_ID].[Category].[Category]" caption="Category" numFmtId="0" hierarchy="10" level="1">
      <sharedItems containsBlank="1" count="6">
        <s v="Beauty"/>
        <s v="Clothing"/>
        <s v="Electronics"/>
        <s v="Home"/>
        <s v="Sports"/>
        <m/>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2" memberValueDatatype="130" unbalanced="0">
      <fieldsUsage count="2">
        <fieldUsage x="-1"/>
        <fieldUsage x="1"/>
      </fieldsUsage>
    </cacheHierarchy>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4189816" backgroundQuery="1" createdVersion="8" refreshedVersion="8" minRefreshableVersion="3" recordCount="0" supportSubquery="1" supportAdvancedDrill="1" xr:uid="{03B54143-583B-402E-93E0-4115081D0E00}">
  <cacheSource type="external" connectionId="5"/>
  <cacheFields count="2">
    <cacheField name="[Measures].[Sum of Sales]" caption="Sum of Sales" numFmtId="0" hierarchy="32" level="32767"/>
    <cacheField name="[Store_ID].[Region].[Region]" caption="Region" numFmtId="0" hierarchy="17" level="1">
      <sharedItems count="4">
        <s v="East"/>
        <s v="North"/>
        <s v="South"/>
        <s v="West"/>
      </sharedItems>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6620372" backgroundQuery="1" createdVersion="8" refreshedVersion="8" minRefreshableVersion="3" recordCount="0" supportSubquery="1" supportAdvancedDrill="1" xr:uid="{02336497-CB5E-4200-B5BA-B01DB7197836}">
  <cacheSource type="external" connectionId="5"/>
  <cacheFields count="3">
    <cacheField name="[Transaction_ID].[Product_ID].[Product_ID]" caption="Product_ID" numFmtId="0" hierarchy="22" level="1">
      <sharedItems count="30">
        <s v="PROD0"/>
        <s v="PROD1"/>
        <s v="PROD10"/>
        <s v="PROD11"/>
        <s v="PROD12"/>
        <s v="PROD13"/>
        <s v="PROD14"/>
        <s v="PROD15"/>
        <s v="PROD16"/>
        <s v="PROD17"/>
        <s v="PROD18"/>
        <s v="PROD19"/>
        <s v="PROD2"/>
        <s v="PROD20"/>
        <s v="PROD21"/>
        <s v="PROD22"/>
        <s v="PROD23"/>
        <s v="PROD24"/>
        <s v="PROD25"/>
        <s v="PROD26"/>
        <s v="PROD27"/>
        <s v="PROD28"/>
        <s v="PROD29"/>
        <s v="PROD3"/>
        <s v="PROD4"/>
        <s v="PROD5"/>
        <s v="PROD6"/>
        <s v="PROD7"/>
        <s v="PROD8"/>
        <s v="PROD9"/>
      </sharedItems>
    </cacheField>
    <cacheField name="[Measures].[Sum of Sales]" caption="Sum of Sales" numFmtId="0" hierarchy="32"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2" memberValueDatatype="130" unbalanced="0">
      <fieldsUsage count="2">
        <fieldUsage x="-1"/>
        <fieldUsage x="0"/>
      </fieldsUsage>
    </cacheHierarchy>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453704" backgroundQuery="1" createdVersion="8" refreshedVersion="8" minRefreshableVersion="3" recordCount="0" supportSubquery="1" supportAdvancedDrill="1" xr:uid="{1426EE85-D8E2-454A-BE5F-97A2A206227B}">
  <cacheSource type="external" connectionId="5"/>
  <cacheFields count="2">
    <cacheField name="[Measures].[Sum of Sales]" caption="Sum of Sales" numFmtId="0" hierarchy="32"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615741" backgroundQuery="1" createdVersion="8" refreshedVersion="8" minRefreshableVersion="3" recordCount="0" supportSubquery="1" supportAdvancedDrill="1" xr:uid="{3E816C4D-377D-4AE7-8B08-16957B4D5371}">
  <cacheSource type="external" connectionId="5"/>
  <cacheFields count="3">
    <cacheField name="[Measures].[Count of Customer_ID 2]" caption="Count of Customer_ID 2" numFmtId="0" hierarchy="33" level="32767"/>
    <cacheField name="[Customer_ID].[Gender].[Gender]" caption="Gender" numFmtId="0" hierarchy="3" level="1">
      <sharedItems count="2">
        <s v="Female"/>
        <s v="Male"/>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2" memberValueDatatype="130" unbalanced="0">
      <fieldsUsage count="2">
        <fieldUsage x="-1"/>
        <fieldUsage x="1"/>
      </fieldsUsage>
    </cacheHierarchy>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673611" backgroundQuery="1" createdVersion="8" refreshedVersion="8" minRefreshableVersion="3" recordCount="0" supportSubquery="1" supportAdvancedDrill="1" xr:uid="{47A27A80-E96A-4F3E-A295-57F73446B9E1}">
  <cacheSource type="external" connectionId="5"/>
  <cacheFields count="2">
    <cacheField name="[Measures].[Sum of Sales]" caption="Sum of Sales" numFmtId="0" hierarchy="32"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6967595" backgroundQuery="1" createdVersion="8" refreshedVersion="8" minRefreshableVersion="3" recordCount="0" supportSubquery="1" supportAdvancedDrill="1" xr:uid="{A4A0A795-87AB-445D-8022-B0ECE5BF67F8}">
  <cacheSource type="external" connectionId="5"/>
  <cacheFields count="2">
    <cacheField name="[Measures].[Sum of Quantity]" caption="Sum of Quantity" numFmtId="0" hierarchy="34"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19791667" backgroundQuery="1" createdVersion="8" refreshedVersion="8" minRefreshableVersion="3" recordCount="0" supportSubquery="1" supportAdvancedDrill="1" xr:uid="{C6C361CD-1906-4270-B8E4-AA5E5C4487C3}">
  <cacheSource type="external" connectionId="5"/>
  <cacheFields count="1">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0"/>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5694448" backgroundQuery="1" createdVersion="8" refreshedVersion="8" minRefreshableVersion="3" recordCount="0" supportSubquery="1" supportAdvancedDrill="1" xr:uid="{F3E4A7F3-8E8A-4286-B2FA-35F13D6EE648}">
  <cacheSource type="external" connectionId="5"/>
  <cacheFields count="3">
    <cacheField name="[Customer_ID].[Loyalty_Level].[Loyalty_Level]" caption="Loyalty_Level" numFmtId="0" hierarchy="7" level="1">
      <sharedItems count="4">
        <s v="Bronze"/>
        <s v="Gold"/>
        <s v="Platinum"/>
        <s v="Silver"/>
      </sharedItems>
    </cacheField>
    <cacheField name="[Measures].[Count of Customer_ID 2]" caption="Count of Customer_ID 2" numFmtId="0" hierarchy="33"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2" memberValueDatatype="130" unbalanced="0">
      <fieldsUsage count="2">
        <fieldUsage x="-1"/>
        <fieldUsage x="0"/>
      </fieldsUsage>
    </cacheHierarchy>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30671298" backgroundQuery="1" createdVersion="8" refreshedVersion="8" minRefreshableVersion="3" recordCount="0" supportSubquery="1" supportAdvancedDrill="1" xr:uid="{FE664132-779A-47C0-BD4E-6DC39F5004C3}">
  <cacheSource type="external" connectionId="5"/>
  <cacheFields count="4">
    <cacheField name="[Product_ID].[Product_Name].[Product_Name]" caption="Product_Name" numFmtId="0" hierarchy="9" level="1">
      <sharedItems count="3">
        <s v="Brother Laser Printer"/>
        <s v="Decorative Wall Mirror"/>
        <s v="Fabric Sofa Throw Blanket"/>
      </sharedItems>
    </cacheField>
    <cacheField name="[Measures].[Sum of Sales]" caption="Sum of Sales" numFmtId="0" hierarchy="32" level="32767"/>
    <cacheField name="[Customer_ID].[State].[State]" caption="State" numFmtId="0" hierarchy="5" level="1">
      <sharedItems count="45">
        <s v="Alabama"/>
        <s v="Alaska"/>
        <s v="Arizona"/>
        <s v="Arkansas"/>
        <s v="California"/>
        <s v="Colorado"/>
        <s v="Connecticut"/>
        <s v="Delaware"/>
        <s v="Florida"/>
        <s v="Georgia"/>
        <s v="Hawaii"/>
        <s v="Idaho"/>
        <s v="Illinois"/>
        <s v="Indiana"/>
        <s v="Iowa"/>
        <s v="Kansas"/>
        <s v="Louisiana"/>
        <s v="Maryland"/>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Utah"/>
        <s v="Vermont"/>
        <s v="Virginia"/>
        <s v="Washington"/>
        <s v="West Virginia"/>
        <s v="Wisconsin"/>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2" memberValueDatatype="130" unbalanced="0">
      <fieldsUsage count="2">
        <fieldUsage x="-1"/>
        <fieldUsage x="2"/>
      </fieldsUsage>
    </cacheHierarchy>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2" memberValueDatatype="130" unbalanced="0">
      <fieldsUsage count="2">
        <fieldUsage x="-1"/>
        <fieldUsage x="0"/>
      </fieldsUsage>
    </cacheHierarchy>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3"/>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3009259" backgroundQuery="1" createdVersion="8" refreshedVersion="8" minRefreshableVersion="3" recordCount="0" supportSubquery="1" supportAdvancedDrill="1" xr:uid="{BC64D06D-CF3D-4418-A923-5E998E28BADA}">
  <cacheSource type="external" connectionId="5"/>
  <cacheFields count="2">
    <cacheField name="[Measures].[Count of Customer_ID]" caption="Count of Customer_ID" numFmtId="0" hierarchy="31" level="32767"/>
    <cacheField name="[Store_ID].[Region].[Region]" caption="Region" numFmtId="0" hierarchy="17" level="1">
      <sharedItems count="4">
        <s v="East"/>
        <s v="North"/>
        <s v="South"/>
        <s v="West"/>
      </sharedItems>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453704" backgroundQuery="1" createdVersion="8" refreshedVersion="8" minRefreshableVersion="3" recordCount="0" supportSubquery="1" supportAdvancedDrill="1" xr:uid="{1B4BE6E1-5CB5-499F-A574-62ACD3A0DAFB}">
  <cacheSource type="external" connectionId="5"/>
  <cacheFields count="2">
    <cacheField name="[Measures].[Count of Customer_ID 2]" caption="Count of Customer_ID 2" numFmtId="0" hierarchy="33" level="32767"/>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1"/>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30.75692511574" backgroundQuery="1" createdVersion="8" refreshedVersion="8" minRefreshableVersion="3" recordCount="0" supportSubquery="1" supportAdvancedDrill="1" xr:uid="{DF57977D-6249-4515-BB15-3C4EB0FA672D}">
  <cacheSource type="external" connectionId="5"/>
  <cacheFields count="3">
    <cacheField name="[Measures].[Sum of Sales]" caption="Sum of Sales" numFmtId="0" hierarchy="32" level="32767"/>
    <cacheField name="[Store_ID].[City].[City]" caption="City" numFmtId="0" hierarchy="18" level="1">
      <sharedItems count="20">
        <s v="Bensonhaven"/>
        <s v="Christopherland"/>
        <s v="Danielmouth"/>
        <s v="East Davidville"/>
        <s v="East Jenniferstad"/>
        <s v="East Johnstad"/>
        <s v="East Stevechester"/>
        <s v="Hoodberg"/>
        <s v="Johnsonville"/>
        <s v="Lake Michael"/>
        <s v="New Jimmymouth"/>
        <s v="New Michaelchester"/>
        <s v="North Nancyview"/>
        <s v="Port Josephberg"/>
        <s v="Port Sharon"/>
        <s v="Sabrinatown"/>
        <s v="Thompsonborough"/>
        <s v="Vasquezborough"/>
        <s v="Washingtonfurt"/>
        <s v="Williamsfurt"/>
      </sharedItems>
    </cacheField>
    <cacheField name="[Store_ID].[Region].[Region]" caption="Region" numFmtId="0" hierarchy="17" level="1">
      <sharedItems containsSemiMixedTypes="0" containsNonDate="0" containsString="0"/>
    </cacheField>
  </cacheFields>
  <cacheHierarchies count="36">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0"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0" memberValueDatatype="130" unbalanced="0"/>
    <cacheHierarchy uniqueName="[Product_ID].[Category]" caption="Category" attribute="1" defaultMemberUniqueName="[Product_ID].[Category].[All]" allUniqueName="[Product_ID].[Category].[All]" dimensionUniqueName="[Product_ID]" displayFolder="" count="0"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2"/>
      </fieldsUsage>
    </cacheHierarchy>
    <cacheHierarchy uniqueName="[Store_ID].[City]" caption="City" attribute="1" defaultMemberUniqueName="[Store_ID].[City].[All]" allUniqueName="[Store_ID].[City].[All]" dimensionUniqueName="[Store_ID]" displayFolder="" count="2" memberValueDatatype="130" unbalanced="0">
      <fieldsUsage count="2">
        <fieldUsage x="-1"/>
        <fieldUsage x="1"/>
      </fieldsUsage>
    </cacheHierarchy>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Transaction_ID" count="0" hidden="1">
      <extLst>
        <ext xmlns:x15="http://schemas.microsoft.com/office/spreadsheetml/2010/11/main" uri="{B97F6D7D-B522-45F9-BDA1-12C45D357490}">
          <x15:cacheHierarchy aggregatedColumn="24"/>
        </ext>
      </extLst>
    </cacheHierarchy>
  </cacheHierarchies>
  <kpis count="0"/>
  <dimensions count="5">
    <dimension name="Customer_ID" uniqueName="[Customer_ID]" caption="Customer_ID"/>
    <dimension measure="1" name="Measures" uniqueName="[Measures]" caption="Measures"/>
    <dimension name="Product_ID" uniqueName="[Product_ID]" caption="Product_ID"/>
    <dimension name="Store_ID" uniqueName="[Store_ID]" caption="Store_ID"/>
    <dimension name="Transaction_ID" uniqueName="[Transaction_ID]" caption="Transaction_ID"/>
  </dimensions>
  <measureGroups count="4">
    <measureGroup name="Customer_ID" caption="Customer_ID"/>
    <measureGroup name="Product_ID" caption="Product_ID"/>
    <measureGroup name="Store_ID" caption="Store_ID"/>
    <measureGroup name="Transaction_ID" caption="Transaction_ID"/>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6029.796621643516" backgroundQuery="1" createdVersion="3" refreshedVersion="8" minRefreshableVersion="3" recordCount="0" supportSubquery="1" supportAdvancedDrill="1" xr:uid="{6FD350B7-0517-47C8-92C0-2487F3FEE818}">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Customer_ID].[Customer_ID]" caption="Customer_ID" attribute="1" defaultMemberUniqueName="[Customer_ID].[Customer_ID].[All]" allUniqueName="[Customer_ID].[Customer_ID].[All]" dimensionUniqueName="[Customer_ID]" displayFolder="" count="0" memberValueDatatype="130" unbalanced="0"/>
    <cacheHierarchy uniqueName="[Customer_ID].[Name]" caption="Name" attribute="1" defaultMemberUniqueName="[Customer_ID].[Name].[All]" allUniqueName="[Customer_ID].[Name].[All]" dimensionUniqueName="[Customer_ID]" displayFolder="" count="0" memberValueDatatype="130" unbalanced="0"/>
    <cacheHierarchy uniqueName="[Customer_ID].[Age]" caption="Age" attribute="1" defaultMemberUniqueName="[Customer_ID].[Age].[All]" allUniqueName="[Customer_ID].[Age].[All]" dimensionUniqueName="[Customer_ID]" displayFolder="" count="0" memberValueDatatype="20" unbalanced="0"/>
    <cacheHierarchy uniqueName="[Customer_ID].[Gender]" caption="Gender" attribute="1" defaultMemberUniqueName="[Customer_ID].[Gender].[All]" allUniqueName="[Customer_ID].[Gender].[All]" dimensionUniqueName="[Customer_ID]" displayFolder="" count="2" memberValueDatatype="130" unbalanced="0"/>
    <cacheHierarchy uniqueName="[Customer_ID].[City]" caption="City" attribute="1" defaultMemberUniqueName="[Customer_ID].[City].[All]" allUniqueName="[Customer_ID].[City].[All]" dimensionUniqueName="[Customer_ID]" displayFolder="" count="0" memberValueDatatype="130" unbalanced="0"/>
    <cacheHierarchy uniqueName="[Customer_ID].[State]" caption="State" attribute="1" defaultMemberUniqueName="[Customer_ID].[State].[All]" allUniqueName="[Customer_ID].[State].[All]" dimensionUniqueName="[Customer_ID]" displayFolder="" count="0" memberValueDatatype="130" unbalanced="0"/>
    <cacheHierarchy uniqueName="[Customer_ID].[Country]" caption="Country" attribute="1" defaultMemberUniqueName="[Customer_ID].[Country].[All]" allUniqueName="[Customer_ID].[Country].[All]" dimensionUniqueName="[Customer_ID]" displayFolder="" count="0" memberValueDatatype="130" unbalanced="0"/>
    <cacheHierarchy uniqueName="[Customer_ID].[Loyalty_Level]" caption="Loyalty_Level" attribute="1" defaultMemberUniqueName="[Customer_ID].[Loyalty_Level].[All]" allUniqueName="[Customer_ID].[Loyalty_Level].[All]" dimensionUniqueName="[Customer_ID]" displayFolder="" count="0" memberValueDatatype="130" unbalanced="0"/>
    <cacheHierarchy uniqueName="[Product_ID].[Product_ID]" caption="Product_ID" attribute="1" defaultMemberUniqueName="[Product_ID].[Product_ID].[All]" allUniqueName="[Product_ID].[Product_ID].[All]" dimensionUniqueName="[Product_ID]" displayFolder="" count="0" memberValueDatatype="130" unbalanced="0"/>
    <cacheHierarchy uniqueName="[Product_ID].[Product_Name]" caption="Product_Name" attribute="1" defaultMemberUniqueName="[Product_ID].[Product_Name].[All]" allUniqueName="[Product_ID].[Product_Name].[All]" dimensionUniqueName="[Product_ID]" displayFolder="" count="2" memberValueDatatype="130" unbalanced="0"/>
    <cacheHierarchy uniqueName="[Product_ID].[Category]" caption="Category" attribute="1" defaultMemberUniqueName="[Product_ID].[Category].[All]" allUniqueName="[Product_ID].[Category].[All]" dimensionUniqueName="[Product_ID]" displayFolder="" count="2" memberValueDatatype="130" unbalanced="0"/>
    <cacheHierarchy uniqueName="[Product_ID].[Sub_Category]" caption="Sub_Category" attribute="1" defaultMemberUniqueName="[Product_ID].[Sub_Category].[All]" allUniqueName="[Product_ID].[Sub_Category].[All]" dimensionUniqueName="[Product_ID]" displayFolder="" count="0" memberValueDatatype="130" unbalanced="0"/>
    <cacheHierarchy uniqueName="[Product_ID].[Brand]" caption="Brand" attribute="1" defaultMemberUniqueName="[Product_ID].[Brand].[All]" allUniqueName="[Product_ID].[Brand].[All]" dimensionUniqueName="[Product_ID]" displayFolder="" count="0" memberValueDatatype="130" unbalanced="0"/>
    <cacheHierarchy uniqueName="[Product_ID].[Cost]" caption="Cost" attribute="1" defaultMemberUniqueName="[Product_ID].[Cost].[All]" allUniqueName="[Product_ID].[Cost].[All]" dimensionUniqueName="[Product_ID]" displayFolder="" count="0" memberValueDatatype="5" unbalanced="0"/>
    <cacheHierarchy uniqueName="[Product_ID].[Stock]" caption="Stock" attribute="1" defaultMemberUniqueName="[Product_ID].[Stock].[All]" allUniqueName="[Product_ID].[Stock].[All]" dimensionUniqueName="[Product_ID]" displayFolder="" count="0" memberValueDatatype="2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2"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Transaction_ID].[Order_ID]" caption="Order_ID" attribute="1" defaultMemberUniqueName="[Transaction_ID].[Order_ID].[All]" allUniqueName="[Transaction_ID].[Order_ID].[All]" dimensionUniqueName="[Transaction_ID]" displayFolder="" count="0" memberValueDatatype="130" unbalanced="0"/>
    <cacheHierarchy uniqueName="[Transaction_ID].[Customer_ID]" caption="Customer_ID" attribute="1" defaultMemberUniqueName="[Transaction_ID].[Customer_ID].[All]" allUniqueName="[Transaction_ID].[Customer_ID].[All]" dimensionUniqueName="[Transaction_ID]" displayFolder="" count="0" memberValueDatatype="130" unbalanced="0"/>
    <cacheHierarchy uniqueName="[Transaction_ID].[Product_ID]" caption="Product_ID" attribute="1" defaultMemberUniqueName="[Transaction_ID].[Product_ID].[All]" allUniqueName="[Transaction_ID].[Product_ID].[All]" dimensionUniqueName="[Transaction_ID]" displayFolder="" count="0" memberValueDatatype="130" unbalanced="0"/>
    <cacheHierarchy uniqueName="[Transaction_ID].[Store_ID]" caption="Store_ID" attribute="1" defaultMemberUniqueName="[Transaction_ID].[Store_ID].[All]" allUniqueName="[Transaction_ID].[Store_ID].[All]" dimensionUniqueName="[Transaction_ID]" displayFolder="" count="0" memberValueDatatype="130" unbalanced="0"/>
    <cacheHierarchy uniqueName="[Transaction_ID].[Quantity]" caption="Quantity" attribute="1" defaultMemberUniqueName="[Transaction_ID].[Quantity].[All]" allUniqueName="[Transaction_ID].[Quantity].[All]" dimensionUniqueName="[Transaction_ID]" displayFolder="" count="0" memberValueDatatype="20" unbalanced="0"/>
    <cacheHierarchy uniqueName="[Transaction_ID].[Sales]" caption="Sales" attribute="1" defaultMemberUniqueName="[Transaction_ID].[Sales].[All]" allUniqueName="[Transaction_ID].[Sales].[All]" dimensionUniqueName="[Transaction_ID]" displayFolder="" count="0" memberValueDatatype="5" unbalanced="0"/>
    <cacheHierarchy uniqueName="[Measures].[__XL_Count Customer_ID]" caption="__XL_Count Customer_ID" measure="1" displayFolder="" measureGroup="Customer_ID" count="0" hidden="1"/>
    <cacheHierarchy uniqueName="[Measures].[__XL_Count Product_ID]" caption="__XL_Count Product_ID" measure="1" displayFolder="" measureGroup="Product_ID" count="0" hidden="1"/>
    <cacheHierarchy uniqueName="[Measures].[__XL_Count Store_ID]" caption="__XL_Count Store_ID" measure="1" displayFolder="" measureGroup="Store_ID" count="0" hidden="1"/>
    <cacheHierarchy uniqueName="[Measures].[__XL_Count Transaction_ID]" caption="__XL_Count Transaction_ID" measure="1" displayFolder="" measureGroup="Transaction_ID" count="0" hidden="1"/>
    <cacheHierarchy uniqueName="[Measures].[__No measures defined]" caption="__No measures defined" measure="1" displayFolder="" count="0" hidden="1"/>
    <cacheHierarchy uniqueName="[Measures].[Count of Customer_ID]" caption="Count of Customer_ID" measure="1" displayFolder="" measureGroup="Transaction_ID"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Transaction_ID" count="0" hidden="1">
      <extLst>
        <ext xmlns:x15="http://schemas.microsoft.com/office/spreadsheetml/2010/11/main" uri="{B97F6D7D-B522-45F9-BDA1-12C45D357490}">
          <x15:cacheHierarchy aggregatedColumn="25"/>
        </ext>
      </extLst>
    </cacheHierarchy>
    <cacheHierarchy uniqueName="[Measures].[Count of Customer_ID 2]" caption="Count of Customer_ID 2" measure="1" displayFolder="" measureGroup="Customer_ID"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ransaction_ID"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63543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7F0427-7594-4043-BC4B-3DCC854E8F05}"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M10:N15"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dataFields>
  <chartFormats count="2">
    <chartFormat chart="10" format="2"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DDD6D-AEED-4E6C-8DAE-495ACC0B9937}" name="PivotTable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dataFields>
  <formats count="12">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Quality"/>
    <pivotHierarchy dragToData="1"/>
    <pivotHierarchy dragToData="1" caption="Total Quantity Sol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D73274-AC57-402F-8B08-BAB574A9E2FD}"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F3:G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13">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0" count="1" selected="0">
            <x v="0"/>
          </reference>
        </references>
      </pivotArea>
    </chartFormat>
    <chartFormat chart="16" format="15">
      <pivotArea type="data" outline="0" fieldPosition="0">
        <references count="2">
          <reference field="4294967294" count="1" selected="0">
            <x v="0"/>
          </reference>
          <reference field="0" count="1" selected="0">
            <x v="1"/>
          </reference>
        </references>
      </pivotArea>
    </chartFormat>
    <chartFormat chart="16" format="16">
      <pivotArea type="data" outline="0" fieldPosition="0">
        <references count="2">
          <reference field="4294967294" count="1" selected="0">
            <x v="0"/>
          </reference>
          <reference field="0" count="1" selected="0">
            <x v="2"/>
          </reference>
        </references>
      </pivotArea>
    </chartFormat>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0" count="1" selected="0">
            <x v="0"/>
          </reference>
        </references>
      </pivotArea>
    </chartFormat>
    <chartFormat chart="18" format="23">
      <pivotArea type="data" outline="0" fieldPosition="0">
        <references count="2">
          <reference field="4294967294" count="1" selected="0">
            <x v="0"/>
          </reference>
          <reference field="0" count="1" selected="0">
            <x v="1"/>
          </reference>
        </references>
      </pivotArea>
    </chartFormat>
    <chartFormat chart="18" format="24">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9B9AC5-1654-41B9-9AC3-30E16B2D3DC3}" name="Transaction_ID"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M3:N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Customer_ID" fld="0" subtotal="count" baseField="0" baseItem="0"/>
  </dataFields>
  <chartFormats count="2">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A40DFE-6265-477D-BA2C-110FA46911D6}" name="PivotTable1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D15:E61" firstHeaderRow="1" firstDataRow="1" firstDataCol="1"/>
  <pivotFields count="4">
    <pivotField allDrilled="1" subtotalTop="0" showAll="0" measureFilter="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allDrilled="1" subtotalTop="0" showAll="0" dataSourceSort="1" defaultSubtotal="0" defaultAttributeDrillState="1"/>
  </pivotFields>
  <rowFields count="1">
    <field x="2"/>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Sales" fld="1" baseField="0" baseItem="0"/>
  </dataFields>
  <chartFormats count="2">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32">
      <autoFilter ref="A1">
        <filterColumn colId="0">
          <top10 val="3" filterVal="3"/>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596EC8-0EBA-4FA6-A8CB-FAF12EF6A821}" name="PivotTable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O4:P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_ID" fld="1" subtotal="count" baseField="0" baseItem="0"/>
  </dataFields>
  <chartFormats count="10">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0" count="1" selected="0">
            <x v="0"/>
          </reference>
        </references>
      </pivotArea>
    </chartFormat>
    <chartFormat chart="11" format="22">
      <pivotArea type="data" outline="0" fieldPosition="0">
        <references count="2">
          <reference field="4294967294" count="1" selected="0">
            <x v="0"/>
          </reference>
          <reference field="0" count="1" selected="0">
            <x v="1"/>
          </reference>
        </references>
      </pivotArea>
    </chartFormat>
    <chartFormat chart="11" format="23">
      <pivotArea type="data" outline="0" fieldPosition="0">
        <references count="2">
          <reference field="4294967294" count="1" selected="0">
            <x v="0"/>
          </reference>
          <reference field="0" count="1" selected="0">
            <x v="2"/>
          </reference>
        </references>
      </pivotArea>
    </chartFormat>
    <chartFormat chart="11" format="24">
      <pivotArea type="data" outline="0" fieldPosition="0">
        <references count="2">
          <reference field="4294967294" count="1" selected="0">
            <x v="0"/>
          </reference>
          <reference field="0" count="1" selected="0">
            <x v="3"/>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Customer_ID]"/>
        <x15:activeTabTopLevelEntity name="[Product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76ABBA-53BF-48C0-BB27-EBE783865357}" name="PivotTable1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H7:H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 fld="0" subtotal="count" baseField="0" baseItem="0"/>
  </dataFields>
  <formats count="12">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Quality"/>
    <pivotHierarchy dragToData="1" caption="Total Custome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911531-8B37-4628-BFAF-EB8A489DBAFF}"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O16:P47"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 fld="1" baseField="0" baseItem="0"/>
  </dataField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Customer_ID]"/>
        <x15:activeTabTopLevelEntity name="[Product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3B1551-2ECC-4C4D-AFE8-9A6CAA8AE0B5}" name="PivotTable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M17:N38" firstHeaderRow="1" firstDataRow="1" firstDataCol="1"/>
  <pivotFields count="3">
    <pivotField dataField="1" subtotalTop="0" showAll="0" defaultSubtotal="0"/>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1">
    <i>
      <x/>
    </i>
    <i>
      <x v="2"/>
    </i>
    <i>
      <x v="18"/>
    </i>
    <i>
      <x v="14"/>
    </i>
    <i>
      <x v="4"/>
    </i>
    <i>
      <x v="17"/>
    </i>
    <i>
      <x v="16"/>
    </i>
    <i>
      <x v="9"/>
    </i>
    <i>
      <x v="10"/>
    </i>
    <i>
      <x v="1"/>
    </i>
    <i>
      <x v="12"/>
    </i>
    <i>
      <x v="7"/>
    </i>
    <i>
      <x v="19"/>
    </i>
    <i>
      <x v="5"/>
    </i>
    <i>
      <x v="13"/>
    </i>
    <i>
      <x v="11"/>
    </i>
    <i>
      <x v="8"/>
    </i>
    <i>
      <x v="6"/>
    </i>
    <i>
      <x v="15"/>
    </i>
    <i>
      <x v="3"/>
    </i>
    <i t="grand">
      <x/>
    </i>
  </rowItems>
  <colItems count="1">
    <i/>
  </colItems>
  <dataFields count="1">
    <dataField name="Sum of Sales" fld="0" baseField="0" baseItem="0"/>
  </dataFields>
  <chartFormats count="3">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933D50-D5DE-47DA-B619-A025B635AD72}" name="PivotTable1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F9:H20"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2"/>
  </rowFields>
  <rowItems count="11">
    <i>
      <x/>
    </i>
    <i r="1">
      <x/>
    </i>
    <i r="1">
      <x v="1"/>
    </i>
    <i r="1">
      <x v="2"/>
    </i>
    <i r="1">
      <x v="3"/>
    </i>
    <i>
      <x v="1"/>
    </i>
    <i r="1">
      <x/>
    </i>
    <i r="1">
      <x v="1"/>
    </i>
    <i r="1">
      <x v="2"/>
    </i>
    <i r="1">
      <x v="3"/>
    </i>
    <i t="grand">
      <x/>
    </i>
  </rowItems>
  <colFields count="1">
    <field x="-2"/>
  </colFields>
  <colItems count="2">
    <i>
      <x/>
    </i>
    <i i="1">
      <x v="1"/>
    </i>
  </colItems>
  <dataFields count="2">
    <dataField name="Sum of Sales" fld="0" baseField="0" baseItem="0"/>
    <dataField name="Count of Quantity" fld="3" subtotal="count" baseField="2" baseItem="0"/>
  </dataFields>
  <chartFormats count="10">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 chart="18" format="17"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rowHierarchiesUsage count="2">
    <rowHierarchyUsage hierarchyUsage="3"/>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B73CAD-0108-4465-8E4F-AB131DAD2864}" name="PivotTable9"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D3:E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Sales" fld="0" baseField="0" baseItem="0"/>
  </dataFields>
  <chartFormats count="14">
    <chartFormat chart="9"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4"/>
          </reference>
        </references>
      </pivotArea>
    </chartFormat>
    <chartFormat chart="16" format="19"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1" count="1" selected="0">
            <x v="0"/>
          </reference>
        </references>
      </pivotArea>
    </chartFormat>
    <chartFormat chart="16" format="27">
      <pivotArea type="data" outline="0" fieldPosition="0">
        <references count="2">
          <reference field="4294967294" count="1" selected="0">
            <x v="0"/>
          </reference>
          <reference field="1" count="1" selected="0">
            <x v="1"/>
          </reference>
        </references>
      </pivotArea>
    </chartFormat>
    <chartFormat chart="16" format="28">
      <pivotArea type="data" outline="0" fieldPosition="0">
        <references count="2">
          <reference field="4294967294" count="1" selected="0">
            <x v="0"/>
          </reference>
          <reference field="1" count="1" selected="0">
            <x v="2"/>
          </reference>
        </references>
      </pivotArea>
    </chartFormat>
    <chartFormat chart="16" format="29">
      <pivotArea type="data" outline="0" fieldPosition="0">
        <references count="2">
          <reference field="4294967294" count="1" selected="0">
            <x v="0"/>
          </reference>
          <reference field="1" count="1" selected="0">
            <x v="3"/>
          </reference>
        </references>
      </pivotArea>
    </chartFormat>
    <chartFormat chart="16" format="30">
      <pivotArea type="data" outline="0" fieldPosition="0">
        <references count="2">
          <reference field="4294967294" count="1" selected="0">
            <x v="0"/>
          </reference>
          <reference field="1" count="1" selected="0">
            <x v="4"/>
          </reference>
        </references>
      </pivotArea>
    </chartFormat>
    <chartFormat chart="16" format="31">
      <pivotArea type="data" outline="0" fieldPosition="0">
        <references count="2">
          <reference field="4294967294" count="1" selected="0">
            <x v="0"/>
          </reference>
          <reference field="1" count="1" selected="0">
            <x v="5"/>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492538-9280-4D3C-8309-0A5BFA9EF15C}"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O11:P1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ustomer_ID" fld="0" subtotal="count" baseField="0" baseItem="0"/>
  </dataFields>
  <chartFormats count="1">
    <chartFormat chart="5"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ransaction_ID]"/>
        <x15:activeTabTopLevelEntity name="[Store_ID]"/>
        <x15:activeTabTopLevelEntity name="[Customer_ID]"/>
        <x15:activeTabTopLevelEntity name="[Product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FB51C9-F1AB-4C01-B918-B557DCCA5D3E}" name="PivotTable1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J3:K7" firstHeaderRow="1" firstDataRow="1" firstDataCol="1"/>
  <pivotFields count="3">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name="Sum of Sales" fld="0" baseField="0" baseItem="0"/>
  </dataFields>
  <chartFormats count="3">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4" iMeasureHier="32">
      <autoFilter ref="A1">
        <filterColumn colId="0">
          <top10 val="3" filterVal="3"/>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activeTabTopLevelEntity name="[Product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DAD653B-765D-497F-9D29-F5584B8CBD4F}" name="Customer_ID"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Customer_ID">
        <x15:activeTabTopLevelEntity name="[Customer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8A30C5F-A78B-4D8A-A89E-B7D6470D6E00}" name="PivotTable1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D12:D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F3EC958-05AC-43AC-92AC-B6C00094556C}" name="PivotTable6"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formats count="12">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796B13-702A-4140-AA3F-2C80345FC1CC}"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5315AAD-C36B-4D55-850B-AFC6382D7CE2}"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467C14AF-E8A5-4228-AC95-C6C64A2AA759}"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000579-8E7E-44FD-B33B-9A693666B3A9}" sourceName="[Store_ID].[Region]">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Store_ID].[Region].[(All)]" sourceCaption="(All)" count="0"/>
        <level uniqueName="[Store_ID].[Region].[Region]" sourceCaption="Region" count="4">
          <ranges>
            <range startItem="0">
              <i n="[Store_ID].[Region].&amp;[East]" c="East"/>
              <i n="[Store_ID].[Region].&amp;[North]" c="North"/>
              <i n="[Store_ID].[Region].&amp;[South]" c="South"/>
              <i n="[Store_ID].[Region].&amp;[West]" c="West"/>
            </range>
          </ranges>
        </level>
      </levels>
      <selections count="1">
        <selection n="[Store_ID].[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6BCF8A29-8ADF-4EB9-971D-1AA1C4B282EE}" sourceName="[Store_ID].[Store_Name]">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Store_ID].[Store_Name].[(All)]" sourceCaption="(All)" count="0"/>
        <level uniqueName="[Store_ID].[Store_Name].[Store_Name]" sourceCaption="Store_Name" count="20">
          <ranges>
            <range startItem="0">
              <i n="[Store_ID].[Store_Name].&amp;[Aguirre-Keller]" c="Aguirre-Keller"/>
              <i n="[Store_ID].[Store_Name].&amp;[Alexander Group]" c="Alexander Group"/>
              <i n="[Store_ID].[Store_Name].&amp;[Bean, Jones and Park]" c="Bean, Jones and Park"/>
              <i n="[Store_ID].[Store_Name].&amp;[Benson-Elliott]" c="Benson-Elliott"/>
              <i n="[Store_ID].[Store_Name].&amp;[Black-Horn]" c="Black-Horn"/>
              <i n="[Store_ID].[Store_Name].&amp;[Frederick-Wright]" c="Frederick-Wright"/>
              <i n="[Store_ID].[Store_Name].&amp;[Gardner, Humphrey and Contreras]" c="Gardner, Humphrey and Contreras"/>
              <i n="[Store_ID].[Store_Name].&amp;[Gray Ltd]" c="Gray Ltd"/>
              <i n="[Store_ID].[Store_Name].&amp;[Guerrero-Schmitt]" c="Guerrero-Schmitt"/>
              <i n="[Store_ID].[Store_Name].&amp;[Hill, Wagner and Ballard]" c="Hill, Wagner and Ballard"/>
              <i n="[Store_ID].[Store_Name].&amp;[Holloway Ltd]" c="Holloway Ltd"/>
              <i n="[Store_ID].[Store_Name].&amp;[Johnson-Wright]" c="Johnson-Wright"/>
              <i n="[Store_ID].[Store_Name].&amp;[Mann-Austin]" c="Mann-Austin"/>
              <i n="[Store_ID].[Store_Name].&amp;[Martinez, Adkins and Johnson]" c="Martinez, Adkins and Johnson"/>
              <i n="[Store_ID].[Store_Name].&amp;[Martinez-Mullins]" c="Martinez-Mullins"/>
              <i n="[Store_ID].[Store_Name].&amp;[Mcdonald Inc]" c="Mcdonald Inc"/>
              <i n="[Store_ID].[Store_Name].&amp;[Moore, Padilla and Butler]" c="Moore, Padilla and Butler"/>
              <i n="[Store_ID].[Store_Name].&amp;[Rivera-Warner]" c="Rivera-Warner"/>
              <i n="[Store_ID].[Store_Name].&amp;[Shelton PLC]" c="Shelton PLC"/>
              <i n="[Store_ID].[Store_Name].&amp;[Thomas, Bridges and Harris]" c="Thomas, Bridges and Harris"/>
            </range>
          </ranges>
        </level>
      </levels>
      <selections count="1">
        <selection n="[Store_ID].[Stor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0D8CFD-8608-4973-8978-9C9F49356836}" sourceName="[Product_ID].[Category]">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Product_ID].[Category].[(All)]" sourceCaption="(All)" count="0"/>
        <level uniqueName="[Product_ID].[Category].[Category]" sourceCaption="Category" count="6">
          <ranges>
            <range startItem="0">
              <i n="[Product_ID].[Category].&amp;[Beauty]" c="Beauty"/>
              <i n="[Product_ID].[Category].&amp;[Clothing]" c="Clothing"/>
              <i n="[Product_ID].[Category].&amp;[Electronics]" c="Electronics"/>
              <i n="[Product_ID].[Category].&amp;[Home]" c="Home"/>
              <i n="[Product_ID].[Category].&amp;[Sports]" c="Sports"/>
              <i n="[Product_ID].[Category].&amp;" c="(blank)"/>
            </range>
          </ranges>
        </level>
      </levels>
      <selections count="1">
        <selection n="[Product_ID].[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830C47A-46C5-4026-8042-1EE2F0AE12FD}" sourceName="[Product_ID].[Product_Name]">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Product_ID].[Product_Name].[(All)]" sourceCaption="(All)" count="0"/>
        <level uniqueName="[Product_ID].[Product_Name].[Product_Name]" sourceCaption="Product_Name" count="101">
          <ranges>
            <range startItem="0">
              <i n="[Product_ID].[Product_Name].&amp;[4K Home Projector]" c="4K Home Projector"/>
              <i n="[Product_ID].[Product_Name].&amp;[Adjustable Dumbbell Set]" c="Adjustable Dumbbell Set"/>
              <i n="[Product_ID].[Product_Name].&amp;[Brother Laser Printer]" c="Brother Laser Printer"/>
              <i n="[Product_ID].[Product_Name].&amp;[Carbon Fiber Tennis Racket]" c="Carbon Fiber Tennis Racket"/>
              <i n="[Product_ID].[Product_Name].&amp;[Ceramic Kitchen Bowl Set]" c="Ceramic Kitchen Bowl Set"/>
              <i n="[Product_ID].[Product_Name].&amp;[Decorative Floor Vase]" c="Decorative Floor Vase"/>
              <i n="[Product_ID].[Product_Name].&amp;[Decorative Wall Mirror]" c="Decorative Wall Mirror"/>
              <i n="[Product_ID].[Product_Name].&amp;[Fabric Sofa Throw Blanket]" c="Fabric Sofa Throw Blanket"/>
              <i n="[Product_ID].[Product_Name].&amp;[Foldable Camping Chair]" c="Foldable Camping Chair"/>
              <i n="[Product_ID].[Product_Name].&amp;[Hair Strengthening Shampoo]" c="Hair Strengthening Shampoo"/>
              <i n="[Product_ID].[Product_Name].&amp;[HD Smart TV Stick]" c="HD Smart TV Stick"/>
              <i n="[Product_ID].[Product_Name].&amp;[Herbal Face Moisturizer]" c="Herbal Face Moisturizer"/>
              <i n="[Product_ID].[Product_Name].&amp;[Knee Support Brace]" c="Knee Support Brace"/>
              <i n="[Product_ID].[Product_Name].&amp;[LED Table Lamp]" c="LED Table Lamp"/>
              <i n="[Product_ID].[Product_Name].&amp;[Men's Formal Shirt]" c="Men's Formal Shirt"/>
              <i n="[Product_ID].[Product_Name].&amp;[Men's Graphic T-Shirt]" c="Men's Graphic T-Shirt"/>
              <i n="[Product_ID].[Product_Name].&amp;[Men's Leather Belt]" c="Men's Leather Belt"/>
              <i n="[Product_ID].[Product_Name].&amp;[Multi-Purpose Storage Box]" c="Multi-Purpose Storage Box"/>
              <i n="[Product_ID].[Product_Name].&amp;[Outdoor Sports Water Bottle]" c="Outdoor Sports Water Bottle"/>
              <i n="[Product_ID].[Product_Name].&amp;[Soccer Training Cone Set]" c="Soccer Training Cone Set"/>
              <i n="[Product_ID].[Product_Name].&amp;[Sports Stopwatch Timer]" c="Sports Stopwatch Timer"/>
              <i n="[Product_ID].[Product_Name].&amp;[USB-C Fast Charger]" c="USB-C Fast Charger"/>
              <i n="[Product_ID].[Product_Name].&amp;[Wireless Bluetooth Earbuds]" c="Wireless Bluetooth Earbuds"/>
              <i n="[Product_ID].[Product_Name].&amp;[Wireless Bluetooth Speaker]" c="Wireless Bluetooth Speaker"/>
              <i n="[Product_ID].[Product_Name].&amp;[Women's Casual Hoodie]" c="Women's Casual Hoodie"/>
              <i n="[Product_ID].[Product_Name].&amp;[Women's Denim Jeans]" c="Women's Denim Jeans"/>
              <i n="[Product_ID].[Product_Name].&amp;[Women's Scarf Set]" c="Women's Scarf Set"/>
              <i n="[Product_ID].[Product_Name].&amp;[Women's Yoga Pants]" c="Women's Yoga Pants"/>
              <i n="[Product_ID].[Product_Name].&amp;" c="(blank)"/>
              <i n="[Product_ID].[Product_Name].&amp;[Adjustable Dumbbells 20kg]" c="Adjustable Dumbbells 20kg"/>
              <i n="[Product_ID].[Product_Name].&amp;[Adjustable Jump Rope]" c="Adjustable Jump Rope"/>
              <i n="[Product_ID].[Product_Name].&amp;[Badminton Racket Set]" c="Badminton Racket Set"/>
              <i n="[Product_ID].[Product_Name].&amp;[Basketball]" c="Basketball"/>
              <i n="[Product_ID].[Product_Name].&amp;[Beard Grooming Kit]" c="Beard Grooming Kit"/>
              <i n="[Product_ID].[Product_Name].&amp;[Bedroom Table Lamp]" c="Bedroom Table Lamp"/>
              <i n="[Product_ID].[Product_Name].&amp;[Bluetooth Car Audio System]" c="Bluetooth Car Audio System"/>
              <i n="[Product_ID].[Product_Name].&amp;[Boxing Hand Wraps]" c="Boxing Hand Wraps"/>
              <i n="[Product_ID].[Product_Name].&amp;[Car Dashboard Phone Holder]" c="Car Dashboard Phone Holder"/>
              <i n="[Product_ID].[Product_Name].&amp;[Ceramic Plant Pot]" c="Ceramic Plant Pot"/>
              <i n="[Product_ID].[Product_Name].&amp;[Cricket Bat]" c="Cricket Bat"/>
              <i n="[Product_ID].[Product_Name].&amp;[Decorative Lamp Shade]" c="Decorative Lamp Shade"/>
              <i n="[Product_ID].[Product_Name].&amp;[Essential Oil Diffuser]" c="Essential Oil Diffuser"/>
              <i n="[Product_ID].[Product_Name].&amp;[Face Foundation Kit]" c="Face Foundation Kit"/>
              <i n="[Product_ID].[Product_Name].&amp;[Fitness Resistance Bands]" c="Fitness Resistance Bands"/>
              <i n="[Product_ID].[Product_Name].&amp;[Foam Roller]" c="Foam Roller"/>
              <i n="[Product_ID].[Product_Name].&amp;[Gaming Mechanical Keyboard]" c="Gaming Mechanical Keyboard"/>
              <i n="[Product_ID].[Product_Name].&amp;[Gaming Mouse Pad XL]" c="Gaming Mouse Pad XL"/>
              <i n="[Product_ID].[Product_Name].&amp;[Hair Repair Oil Treatment]" c="Hair Repair Oil Treatment"/>
              <i n="[Product_ID].[Product_Name].&amp;[HDMI Cable – 2m]" c="HDMI Cable – 2m"/>
              <i n="[Product_ID].[Product_Name].&amp;[High-Grip Football]" c="High-Grip Football"/>
              <i n="[Product_ID].[Product_Name].&amp;[Hydrating Face Cleanser]" c="Hydrating Face Cleanser"/>
              <i n="[Product_ID].[Product_Name].&amp;[Kitchen Cutting Board]" c="Kitchen Cutting Board"/>
              <i n="[Product_ID].[Product_Name].&amp;[Kitchen Storage Rack]" c="Kitchen Storage Rack"/>
              <i n="[Product_ID].[Product_Name].&amp;[Laptop Cooling Pad]" c="Laptop Cooling Pad"/>
              <i n="[Product_ID].[Product_Name].&amp;[LED Bedside Lamp]" c="LED Bedside Lamp"/>
              <i n="[Product_ID].[Product_Name].&amp;[Luxury Perfume Spray]" c="Luxury Perfume Spray"/>
              <i n="[Product_ID].[Product_Name].&amp;[Makeup Brush Set]" c="Makeup Brush Set"/>
              <i n="[Product_ID].[Product_Name].&amp;[Matte Lipstick Set]" c="Matte Lipstick Set"/>
              <i n="[Product_ID].[Product_Name].&amp;[Men's Casual Sneakers]" c="Men's Casual Sneakers"/>
              <i n="[Product_ID].[Product_Name].&amp;[Men's Hair Styling Gel]" c="Men's Hair Styling Gel"/>
              <i n="[Product_ID].[Product_Name].&amp;[Men's Roll-On Perfume]" c="Men's Roll-On Perfume"/>
              <i n="[Product_ID].[Product_Name].&amp;[Men's Running Jacket]" c="Men's Running Jacket"/>
              <i n="[Product_ID].[Product_Name].&amp;[Men's Sports Shorts]" c="Men's Sports Shorts"/>
              <i n="[Product_ID].[Product_Name].&amp;[Men's Track Pants]" c="Men's Track Pants"/>
              <i n="[Product_ID].[Product_Name].&amp;[Men's Winter Jacket]" c="Men's Winter Jacket"/>
              <i n="[Product_ID].[Product_Name].&amp;[Microwave Oven]" c="Microwave Oven"/>
              <i n="[Product_ID].[Product_Name].&amp;[Modern Wall Clock]" c="Modern Wall Clock"/>
              <i n="[Product_ID].[Product_Name].&amp;[Noise-Canceling Headphones]" c="Noise-Canceling Headphones"/>
              <i n="[Product_ID].[Product_Name].&amp;[Organic Sunscreen Lotion]" c="Organic Sunscreen Lotion"/>
              <i n="[Product_ID].[Product_Name].&amp;[Portable Bluetooth Speaker]" c="Portable Bluetooth Speaker"/>
              <i n="[Product_ID].[Product_Name].&amp;[Portable Power Bank]" c="Portable Power Bank"/>
              <i n="[Product_ID].[Product_Name].&amp;[Premium Blanket Throw]" c="Premium Blanket Throw"/>
              <i n="[Product_ID].[Product_Name].&amp;[Professional Jump Rope]" c="Professional Jump Rope"/>
              <i n="[Product_ID].[Product_Name].&amp;[Rugby Ball]" c="Rugby Ball"/>
              <i n="[Product_ID].[Product_Name].&amp;[Shin Guards – Adult]" c="Shin Guards – Adult"/>
              <i n="[Product_ID].[Product_Name].&amp;[Smart Home WiFi Camera]" c="Smart Home WiFi Camera"/>
              <i n="[Product_ID].[Product_Name].&amp;[Smart LED Light Strip]" c="Smart LED Light Strip"/>
              <i n="[Product_ID].[Product_Name].&amp;[Sports Stopwatch Basic]" c="Sports Stopwatch Basic"/>
              <i n="[Product_ID].[Product_Name].&amp;[Sports Stopwatch Pro]" c="Sports Stopwatch Pro"/>
              <i n="[Product_ID].[Product_Name].&amp;[Sports Water Hydration Pack]" c="Sports Water Hydration Pack"/>
              <i n="[Product_ID].[Product_Name].&amp;[Sports Wrist Sweatbands]" c="Sports Wrist Sweatbands"/>
              <i n="[Product_ID].[Product_Name].&amp;[Stainless Steel Cookware Set]" c="Stainless Steel Cookware Set"/>
              <i n="[Product_ID].[Product_Name].&amp;[Stainless Steel Cutlery Set]" c="Stainless Steel Cutlery Set"/>
              <i n="[Product_ID].[Product_Name].&amp;[Tennis Ball 3-Pack]" c="Tennis Ball 3-Pack"/>
              <i n="[Product_ID].[Product_Name].&amp;[USB External Hard Drive]" c="USB External Hard Drive"/>
              <i n="[Product_ID].[Product_Name].&amp;[USB-C Laptop Charger]" c="USB-C Laptop Charger"/>
              <i n="[Product_ID].[Product_Name].&amp;[Vitamin C Face Serum]" c="Vitamin C Face Serum"/>
              <i n="[Product_ID].[Product_Name].&amp;[Vitamin E Body Lotion]" c="Vitamin E Body Lotion"/>
              <i n="[Product_ID].[Product_Name].&amp;[Wall-Mounted Spice Rack]" c="Wall-Mounted Spice Rack"/>
              <i n="[Product_ID].[Product_Name].&amp;[WiFi Mesh Router]" c="WiFi Mesh Router"/>
              <i n="[Product_ID].[Product_Name].&amp;[Wireless Mouse]" c="Wireless Mouse"/>
              <i n="[Product_ID].[Product_Name].&amp;[Women's Ankle Boots]" c="Women's Ankle Boots"/>
              <i n="[Product_ID].[Product_Name].&amp;[Women's Beanie Hat]" c="Women's Beanie Hat"/>
              <i n="[Product_ID].[Product_Name].&amp;[Womens Cotton Scarf]" c="Womens Cotton Scarf"/>
              <i n="[Product_ID].[Product_Name].&amp;[Women's Formal Blazer]" c="Women's Formal Blazer"/>
              <i n="[Product_ID].[Product_Name].&amp;[Women's Hair Dryer Brush]" c="Women's Hair Dryer Brush"/>
              <i n="[Product_ID].[Product_Name].&amp;[Women's High Heels]" c="Women's High Heels"/>
              <i n="[Product_ID].[Product_Name].&amp;[Women's Summer Dress]" c="Women's Summer Dress"/>
              <i n="[Product_ID].[Product_Name].&amp;[Wooden Bookshelf]" c="Wooden Bookshelf"/>
              <i n="[Product_ID].[Product_Name].&amp;[Wooden Nightstand]" c="Wooden Nightstand"/>
              <i n="[Product_ID].[Product_Name].&amp;[Yoga Exercise Mat]" c="Yoga Exercise Mat"/>
            </range>
          </ranges>
        </level>
      </levels>
      <selections count="1">
        <selection n="[Product_ID].[Product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22141B7-6807-4501-8DED-D19344B90603}" sourceName="[Store_ID].[City]">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Store_ID].[City].[(All)]" sourceCaption="(All)" count="0"/>
        <level uniqueName="[Store_ID].[City].[City]" sourceCaption="City" count="20">
          <ranges>
            <range startItem="0">
              <i n="[Store_ID].[City].&amp;[Bensonhaven]" c="Bensonhaven"/>
              <i n="[Store_ID].[City].&amp;[Christopherland]" c="Christopherland"/>
              <i n="[Store_ID].[City].&amp;[Danielmouth]" c="Danielmouth"/>
              <i n="[Store_ID].[City].&amp;[East Davidville]" c="East Davidville"/>
              <i n="[Store_ID].[City].&amp;[East Jenniferstad]" c="East Jenniferstad"/>
              <i n="[Store_ID].[City].&amp;[East Johnstad]" c="East Johnstad"/>
              <i n="[Store_ID].[City].&amp;[East Stevechester]" c="East Stevechester"/>
              <i n="[Store_ID].[City].&amp;[Hoodberg]" c="Hoodberg"/>
              <i n="[Store_ID].[City].&amp;[Johnsonville]" c="Johnsonville"/>
              <i n="[Store_ID].[City].&amp;[Lake Michael]" c="Lake Michael"/>
              <i n="[Store_ID].[City].&amp;[New Jimmymouth]" c="New Jimmymouth"/>
              <i n="[Store_ID].[City].&amp;[New Michaelchester]" c="New Michaelchester"/>
              <i n="[Store_ID].[City].&amp;[North Nancyview]" c="North Nancyview"/>
              <i n="[Store_ID].[City].&amp;[Port Josephberg]" c="Port Josephberg"/>
              <i n="[Store_ID].[City].&amp;[Port Sharon]" c="Port Sharon"/>
              <i n="[Store_ID].[City].&amp;[Sabrinatown]" c="Sabrinatown"/>
              <i n="[Store_ID].[City].&amp;[Thompsonborough]" c="Thompsonborough"/>
              <i n="[Store_ID].[City].&amp;[Vasquezborough]" c="Vasquezborough"/>
              <i n="[Store_ID].[City].&amp;[Washingtonfurt]" c="Washingtonfurt"/>
              <i n="[Store_ID].[City].&amp;[Williamsfurt]" c="Williamsfurt"/>
            </range>
          </ranges>
        </level>
      </levels>
      <selections count="1">
        <selection n="[Store_ID].[C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9696DE-0920-433C-971F-63CC503C1FE4}" sourceName="[Customer_ID].[Gender]">
  <pivotTables>
    <pivotTable tabId="6" name="PivotTable10"/>
    <pivotTable tabId="6" name="Customer_ID"/>
    <pivotTable tabId="6" name="PivotTable1"/>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9"/>
    <pivotTable tabId="6" name="Transaction_ID"/>
    <pivotTable tabId="6" name="PivotTable13"/>
    <pivotTable tabId="6" name="PivotTable14"/>
    <pivotTable tabId="6" name="PivotTable15"/>
  </pivotTables>
  <data>
    <olap pivotCacheId="6354379">
      <levels count="2">
        <level uniqueName="[Customer_ID].[Gender].[(All)]" sourceCaption="(All)" count="0"/>
        <level uniqueName="[Customer_ID].[Gender].[Gender]" sourceCaption="Gender" count="2">
          <ranges>
            <range startItem="0">
              <i n="[Customer_ID].[Gender].&amp;[Female]" c="Female"/>
              <i n="[Customer_ID].[Gender].&amp;[Male]" c="Male"/>
            </range>
          </ranges>
        </level>
      </levels>
      <selections count="1">
        <selection n="[Customer_ID].[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B69C3D-3C98-487F-B7B4-C23D4A97F27D}" cache="Slicer_Region" caption="Region" columnCount="2" level="1" style="SlicerStyleLight2" rowHeight="144000"/>
  <slicer name="Store_Name 1" xr10:uid="{4EAF91AE-0D43-4DBB-9229-AB8F8CF0F2A9}" cache="Slicer_Store_Name" caption="Store_Name" level="1" style="SlicerStyleDark4" rowHeight="234950"/>
  <slicer name="Category 1" xr10:uid="{66E72901-E895-445C-A880-C1380435ED75}" cache="Slicer_Category" caption="Category" columnCount="2" level="1" style="SlicerStyleDark6" rowHeight="144000"/>
  <slicer name="Product_Name 1" xr10:uid="{446A5B5F-471E-4F8A-A1C8-29A2B095C972}" cache="Slicer_Product_Name" caption="Product_Name" level="1" style="SlicerStyleDark4" rowHeight="234950"/>
  <slicer name="City 1" xr10:uid="{CE090088-11CD-40F9-832E-2769D0296216}" cache="Slicer_City" caption="City" level="1" style="SlicerStyleDark4" rowHeight="144000"/>
  <slicer name="Gender 1" xr10:uid="{5B621808-EBCC-4528-9AC3-ADB3E2F36AED}" cache="Slicer_Gender" caption="Gender" level="1" style="SlicerStyleDark2"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B1C018-D863-4BB8-97A4-DFE0F1DAEFA1}" name="Customer_ID" displayName="Customer_ID" ref="A1:H501" tableType="queryTable" totalsRowShown="0">
  <autoFilter ref="A1:H501" xr:uid="{19B1C018-D863-4BB8-97A4-DFE0F1DAEFA1}"/>
  <tableColumns count="8">
    <tableColumn id="1" xr3:uid="{F5C53B3B-5D2F-46CD-A736-82EEA783F8DF}" uniqueName="1" name="Customer_ID" queryTableFieldId="1" dataDxfId="52"/>
    <tableColumn id="2" xr3:uid="{0B05F015-16FF-42E6-92A5-B7DBF5795572}" uniqueName="2" name="Name" queryTableFieldId="2" dataDxfId="51"/>
    <tableColumn id="3" xr3:uid="{7C692DE7-4469-43F0-9E21-9C8D4169B100}" uniqueName="3" name="Age" queryTableFieldId="3"/>
    <tableColumn id="4" xr3:uid="{0C78AB2A-EB8C-4BBE-B8DB-3D812363A5FA}" uniqueName="4" name="Gender" queryTableFieldId="4" dataDxfId="50"/>
    <tableColumn id="5" xr3:uid="{B7ECBD7C-0A8D-407D-B3BF-E44BC715C21F}" uniqueName="5" name="City" queryTableFieldId="5" dataDxfId="49"/>
    <tableColumn id="6" xr3:uid="{23805A14-E259-4D95-8D45-538BAF35619D}" uniqueName="6" name="State" queryTableFieldId="6" dataDxfId="48"/>
    <tableColumn id="7" xr3:uid="{17FC08E9-8091-40C2-84FC-8F5781A5CA99}" uniqueName="7" name="Country" queryTableFieldId="7" dataDxfId="47"/>
    <tableColumn id="8" xr3:uid="{A34EC072-A7F8-4733-861A-231F53BA2D43}" uniqueName="8" name="Loyalty_Level" queryTableFieldId="8" dataDxfId="46"/>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2AFA23-2DA1-47F5-90B8-23235B857900}" name="Product_ID" displayName="Product_ID" ref="A1:G101" tableType="queryTable" totalsRowShown="0">
  <autoFilter ref="A1:G101" xr:uid="{FC2AFA23-2DA1-47F5-90B8-23235B857900}"/>
  <tableColumns count="7">
    <tableColumn id="1" xr3:uid="{606B2E4F-5B4F-4737-9724-A7B5129DB344}" uniqueName="1" name="Product_ID" queryTableFieldId="1" dataDxfId="45"/>
    <tableColumn id="2" xr3:uid="{B13C19C8-4A17-4BB3-804D-9ED33186FA72}" uniqueName="2" name="Product_Name" queryTableFieldId="2" dataDxfId="44"/>
    <tableColumn id="3" xr3:uid="{3C060AFA-1206-4969-AA7B-CC83FAB2B9C8}" uniqueName="3" name="Category" queryTableFieldId="3" dataDxfId="43"/>
    <tableColumn id="4" xr3:uid="{9C38A4E4-A300-4708-AD93-E96D31EDF60C}" uniqueName="4" name="Sub_Category" queryTableFieldId="4" dataDxfId="42"/>
    <tableColumn id="5" xr3:uid="{84D2D9B2-3693-4554-A01E-619EB9F8988E}" uniqueName="5" name="Brand" queryTableFieldId="5" dataDxfId="41"/>
    <tableColumn id="6" xr3:uid="{8EE3E362-3AEF-432C-A842-6F09FE1CD6EC}" uniqueName="6" name="Cost" queryTableFieldId="6"/>
    <tableColumn id="7" xr3:uid="{A085A8D6-5936-462A-B88E-FD7BABB55B39}" uniqueName="7" name="Stock"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DAA0DA-008C-4A77-B4B1-EE8DDDDF36F9}" name="Store_ID" displayName="Store_ID" ref="A1:E21" tableType="queryTable" totalsRowShown="0">
  <autoFilter ref="A1:E21" xr:uid="{D2DAA0DA-008C-4A77-B4B1-EE8DDDDF36F9}"/>
  <tableColumns count="5">
    <tableColumn id="1" xr3:uid="{C998C530-2AE0-4E1B-BF61-522D48D810DF}" uniqueName="1" name="Store_ID" queryTableFieldId="1" dataDxfId="40"/>
    <tableColumn id="2" xr3:uid="{9785DB17-228D-4E50-A13D-EF9B08AC4D0C}" uniqueName="2" name="Store_Name" queryTableFieldId="2" dataDxfId="39"/>
    <tableColumn id="3" xr3:uid="{DA02EC90-714E-4552-A512-B7A37421A49D}" uniqueName="3" name="Region" queryTableFieldId="3" dataDxfId="38"/>
    <tableColumn id="4" xr3:uid="{E9A2E933-64D5-4F13-B3BB-2224D489D3D1}" uniqueName="4" name="City" queryTableFieldId="4" dataDxfId="37"/>
    <tableColumn id="5" xr3:uid="{62199916-05C2-4282-9129-15A2C703C350}" uniqueName="5" name="Store_Type" queryTableFieldId="5" dataDxfId="3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6FED87-9EB8-48F7-AC5B-BD57E3FC3846}" name="Transaction_ID" displayName="Transaction_ID" ref="A1:G201" totalsRowShown="0">
  <autoFilter ref="A1:G201" xr:uid="{566FED87-9EB8-48F7-AC5B-BD57E3FC3846}"/>
  <tableColumns count="7">
    <tableColumn id="1" xr3:uid="{F744DAE9-9511-4C9E-9AA6-9282FD32E474}" name="Order_ID"/>
    <tableColumn id="2" xr3:uid="{AD3CD1DF-9A8E-4F98-9193-907C77F9F1AA}" name="Customer_ID"/>
    <tableColumn id="3" xr3:uid="{191C7201-442F-4C45-9420-7B7B6ADB1D3C}" name="Product_ID"/>
    <tableColumn id="4" xr3:uid="{C0C18772-5A9A-4ACA-972C-83DC486A6774}" name="Store_ID"/>
    <tableColumn id="5" xr3:uid="{F4E4360E-1F4B-4008-93CE-F15A12333B29}" name="Quantity"/>
    <tableColumn id="7" xr3:uid="{B832A257-BF44-4AC2-96A8-AAC3BA190AE9}" name="Profit"/>
    <tableColumn id="6" xr3:uid="{3CB64193-E083-4FDE-87EF-792758D35DDA}"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9B5C4-9394-4C56-A1E8-FB7030EEF380}">
  <dimension ref="A1:H501"/>
  <sheetViews>
    <sheetView workbookViewId="0">
      <selection activeCell="I12" sqref="I12"/>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v>55</v>
      </c>
      <c r="D2" t="s">
        <v>10</v>
      </c>
      <c r="E2" t="s">
        <v>11</v>
      </c>
      <c r="F2" t="s">
        <v>12</v>
      </c>
      <c r="G2" t="s">
        <v>13</v>
      </c>
      <c r="H2" t="s">
        <v>14</v>
      </c>
    </row>
    <row r="3" spans="1:8" x14ac:dyDescent="0.3">
      <c r="A3" t="s">
        <v>15</v>
      </c>
      <c r="B3" t="s">
        <v>16</v>
      </c>
      <c r="C3">
        <v>26</v>
      </c>
      <c r="D3" t="s">
        <v>17</v>
      </c>
      <c r="E3" t="s">
        <v>18</v>
      </c>
      <c r="F3" t="s">
        <v>19</v>
      </c>
      <c r="G3" t="s">
        <v>13</v>
      </c>
      <c r="H3" t="s">
        <v>14</v>
      </c>
    </row>
    <row r="4" spans="1:8" x14ac:dyDescent="0.3">
      <c r="A4" t="s">
        <v>20</v>
      </c>
      <c r="B4" t="s">
        <v>21</v>
      </c>
      <c r="C4">
        <v>29</v>
      </c>
      <c r="D4" t="s">
        <v>17</v>
      </c>
      <c r="E4" t="s">
        <v>22</v>
      </c>
      <c r="F4" t="s">
        <v>23</v>
      </c>
      <c r="G4" t="s">
        <v>13</v>
      </c>
      <c r="H4" t="s">
        <v>14</v>
      </c>
    </row>
    <row r="5" spans="1:8" x14ac:dyDescent="0.3">
      <c r="A5" t="s">
        <v>24</v>
      </c>
      <c r="B5" t="s">
        <v>25</v>
      </c>
      <c r="C5">
        <v>59</v>
      </c>
      <c r="D5" t="s">
        <v>17</v>
      </c>
      <c r="E5" t="s">
        <v>26</v>
      </c>
      <c r="F5" t="s">
        <v>27</v>
      </c>
      <c r="G5" t="s">
        <v>13</v>
      </c>
      <c r="H5" t="s">
        <v>28</v>
      </c>
    </row>
    <row r="6" spans="1:8" x14ac:dyDescent="0.3">
      <c r="A6" t="s">
        <v>29</v>
      </c>
      <c r="B6" t="s">
        <v>30</v>
      </c>
      <c r="C6">
        <v>64</v>
      </c>
      <c r="D6" t="s">
        <v>17</v>
      </c>
      <c r="E6" t="s">
        <v>31</v>
      </c>
      <c r="F6" t="s">
        <v>32</v>
      </c>
      <c r="G6" t="s">
        <v>13</v>
      </c>
      <c r="H6" t="s">
        <v>33</v>
      </c>
    </row>
    <row r="7" spans="1:8" x14ac:dyDescent="0.3">
      <c r="A7" t="s">
        <v>34</v>
      </c>
      <c r="B7" t="s">
        <v>35</v>
      </c>
      <c r="C7">
        <v>24</v>
      </c>
      <c r="D7" t="s">
        <v>10</v>
      </c>
      <c r="E7" t="s">
        <v>36</v>
      </c>
      <c r="F7" t="s">
        <v>37</v>
      </c>
      <c r="G7" t="s">
        <v>13</v>
      </c>
      <c r="H7" t="s">
        <v>28</v>
      </c>
    </row>
    <row r="8" spans="1:8" x14ac:dyDescent="0.3">
      <c r="A8" t="s">
        <v>38</v>
      </c>
      <c r="B8" t="s">
        <v>39</v>
      </c>
      <c r="C8">
        <v>29</v>
      </c>
      <c r="D8" t="s">
        <v>17</v>
      </c>
      <c r="E8" t="s">
        <v>40</v>
      </c>
      <c r="F8" t="s">
        <v>41</v>
      </c>
      <c r="G8" t="s">
        <v>13</v>
      </c>
      <c r="H8" t="s">
        <v>14</v>
      </c>
    </row>
    <row r="9" spans="1:8" x14ac:dyDescent="0.3">
      <c r="A9" t="s">
        <v>42</v>
      </c>
      <c r="B9" t="s">
        <v>43</v>
      </c>
      <c r="C9">
        <v>29</v>
      </c>
      <c r="D9" t="s">
        <v>17</v>
      </c>
      <c r="E9" t="s">
        <v>44</v>
      </c>
      <c r="F9" t="s">
        <v>45</v>
      </c>
      <c r="G9" t="s">
        <v>13</v>
      </c>
      <c r="H9" t="s">
        <v>28</v>
      </c>
    </row>
    <row r="10" spans="1:8" x14ac:dyDescent="0.3">
      <c r="A10" t="s">
        <v>46</v>
      </c>
      <c r="B10" t="s">
        <v>47</v>
      </c>
      <c r="C10">
        <v>53</v>
      </c>
      <c r="D10" t="s">
        <v>17</v>
      </c>
      <c r="E10" t="s">
        <v>48</v>
      </c>
      <c r="F10" t="s">
        <v>49</v>
      </c>
      <c r="G10" t="s">
        <v>13</v>
      </c>
      <c r="H10" t="s">
        <v>50</v>
      </c>
    </row>
    <row r="11" spans="1:8" x14ac:dyDescent="0.3">
      <c r="A11" t="s">
        <v>51</v>
      </c>
      <c r="B11" t="s">
        <v>52</v>
      </c>
      <c r="C11">
        <v>64</v>
      </c>
      <c r="D11" t="s">
        <v>10</v>
      </c>
      <c r="E11" t="s">
        <v>53</v>
      </c>
      <c r="F11" t="s">
        <v>54</v>
      </c>
      <c r="G11" t="s">
        <v>13</v>
      </c>
      <c r="H11" t="s">
        <v>14</v>
      </c>
    </row>
    <row r="12" spans="1:8" x14ac:dyDescent="0.3">
      <c r="A12" t="s">
        <v>55</v>
      </c>
      <c r="B12" t="s">
        <v>56</v>
      </c>
      <c r="C12">
        <v>53</v>
      </c>
      <c r="D12" t="s">
        <v>10</v>
      </c>
      <c r="E12" t="s">
        <v>57</v>
      </c>
      <c r="F12" t="s">
        <v>54</v>
      </c>
      <c r="G12" t="s">
        <v>13</v>
      </c>
      <c r="H12" t="s">
        <v>28</v>
      </c>
    </row>
    <row r="13" spans="1:8" x14ac:dyDescent="0.3">
      <c r="A13" t="s">
        <v>58</v>
      </c>
      <c r="B13" t="s">
        <v>59</v>
      </c>
      <c r="C13">
        <v>28</v>
      </c>
      <c r="D13" t="s">
        <v>17</v>
      </c>
      <c r="E13" t="s">
        <v>60</v>
      </c>
      <c r="F13" t="s">
        <v>61</v>
      </c>
      <c r="G13" t="s">
        <v>13</v>
      </c>
      <c r="H13" t="s">
        <v>50</v>
      </c>
    </row>
    <row r="14" spans="1:8" x14ac:dyDescent="0.3">
      <c r="A14" t="s">
        <v>62</v>
      </c>
      <c r="B14" t="s">
        <v>63</v>
      </c>
      <c r="C14">
        <v>55</v>
      </c>
      <c r="D14" t="s">
        <v>17</v>
      </c>
      <c r="E14" t="s">
        <v>64</v>
      </c>
      <c r="F14" t="s">
        <v>65</v>
      </c>
      <c r="G14" t="s">
        <v>13</v>
      </c>
      <c r="H14" t="s">
        <v>14</v>
      </c>
    </row>
    <row r="15" spans="1:8" x14ac:dyDescent="0.3">
      <c r="A15" t="s">
        <v>66</v>
      </c>
      <c r="B15" t="s">
        <v>67</v>
      </c>
      <c r="C15">
        <v>32</v>
      </c>
      <c r="D15" t="s">
        <v>17</v>
      </c>
      <c r="E15" t="s">
        <v>68</v>
      </c>
      <c r="F15" t="s">
        <v>69</v>
      </c>
      <c r="G15" t="s">
        <v>13</v>
      </c>
      <c r="H15" t="s">
        <v>33</v>
      </c>
    </row>
    <row r="16" spans="1:8" x14ac:dyDescent="0.3">
      <c r="A16" t="s">
        <v>70</v>
      </c>
      <c r="B16" t="s">
        <v>71</v>
      </c>
      <c r="C16">
        <v>53</v>
      </c>
      <c r="D16" t="s">
        <v>17</v>
      </c>
      <c r="E16" t="s">
        <v>72</v>
      </c>
      <c r="F16" t="s">
        <v>73</v>
      </c>
      <c r="G16" t="s">
        <v>13</v>
      </c>
      <c r="H16" t="s">
        <v>33</v>
      </c>
    </row>
    <row r="17" spans="1:8" x14ac:dyDescent="0.3">
      <c r="A17" t="s">
        <v>74</v>
      </c>
      <c r="B17" t="s">
        <v>75</v>
      </c>
      <c r="C17">
        <v>49</v>
      </c>
      <c r="D17" t="s">
        <v>17</v>
      </c>
      <c r="E17" t="s">
        <v>76</v>
      </c>
      <c r="F17" t="s">
        <v>77</v>
      </c>
      <c r="G17" t="s">
        <v>13</v>
      </c>
      <c r="H17" t="s">
        <v>14</v>
      </c>
    </row>
    <row r="18" spans="1:8" x14ac:dyDescent="0.3">
      <c r="A18" t="s">
        <v>78</v>
      </c>
      <c r="B18" t="s">
        <v>79</v>
      </c>
      <c r="C18">
        <v>24</v>
      </c>
      <c r="D18" t="s">
        <v>17</v>
      </c>
      <c r="E18" t="s">
        <v>80</v>
      </c>
      <c r="F18" t="s">
        <v>54</v>
      </c>
      <c r="G18" t="s">
        <v>13</v>
      </c>
      <c r="H18" t="s">
        <v>28</v>
      </c>
    </row>
    <row r="19" spans="1:8" x14ac:dyDescent="0.3">
      <c r="A19" t="s">
        <v>81</v>
      </c>
      <c r="B19" t="s">
        <v>82</v>
      </c>
      <c r="C19">
        <v>60</v>
      </c>
      <c r="D19" t="s">
        <v>17</v>
      </c>
      <c r="E19" t="s">
        <v>83</v>
      </c>
      <c r="F19" t="s">
        <v>84</v>
      </c>
      <c r="G19" t="s">
        <v>13</v>
      </c>
      <c r="H19" t="s">
        <v>14</v>
      </c>
    </row>
    <row r="20" spans="1:8" x14ac:dyDescent="0.3">
      <c r="A20" t="s">
        <v>85</v>
      </c>
      <c r="B20" t="s">
        <v>86</v>
      </c>
      <c r="C20">
        <v>43</v>
      </c>
      <c r="D20" t="s">
        <v>10</v>
      </c>
      <c r="E20" t="s">
        <v>87</v>
      </c>
      <c r="F20" t="s">
        <v>65</v>
      </c>
      <c r="G20" t="s">
        <v>13</v>
      </c>
      <c r="H20" t="s">
        <v>14</v>
      </c>
    </row>
    <row r="21" spans="1:8" x14ac:dyDescent="0.3">
      <c r="A21" t="s">
        <v>88</v>
      </c>
      <c r="B21" t="s">
        <v>89</v>
      </c>
      <c r="C21">
        <v>46</v>
      </c>
      <c r="D21" t="s">
        <v>17</v>
      </c>
      <c r="E21" t="s">
        <v>90</v>
      </c>
      <c r="F21" t="s">
        <v>91</v>
      </c>
      <c r="G21" t="s">
        <v>13</v>
      </c>
      <c r="H21" t="s">
        <v>14</v>
      </c>
    </row>
    <row r="22" spans="1:8" x14ac:dyDescent="0.3">
      <c r="A22" t="s">
        <v>92</v>
      </c>
      <c r="B22" t="s">
        <v>93</v>
      </c>
      <c r="C22">
        <v>59</v>
      </c>
      <c r="D22" t="s">
        <v>10</v>
      </c>
      <c r="E22" t="s">
        <v>94</v>
      </c>
      <c r="F22" t="s">
        <v>95</v>
      </c>
      <c r="G22" t="s">
        <v>13</v>
      </c>
      <c r="H22" t="s">
        <v>33</v>
      </c>
    </row>
    <row r="23" spans="1:8" x14ac:dyDescent="0.3">
      <c r="A23" t="s">
        <v>96</v>
      </c>
      <c r="B23" t="s">
        <v>97</v>
      </c>
      <c r="C23">
        <v>36</v>
      </c>
      <c r="D23" t="s">
        <v>17</v>
      </c>
      <c r="E23" t="s">
        <v>98</v>
      </c>
      <c r="F23" t="s">
        <v>99</v>
      </c>
      <c r="G23" t="s">
        <v>13</v>
      </c>
      <c r="H23" t="s">
        <v>50</v>
      </c>
    </row>
    <row r="24" spans="1:8" x14ac:dyDescent="0.3">
      <c r="A24" t="s">
        <v>100</v>
      </c>
      <c r="B24" t="s">
        <v>101</v>
      </c>
      <c r="C24">
        <v>33</v>
      </c>
      <c r="D24" t="s">
        <v>17</v>
      </c>
      <c r="E24" t="s">
        <v>102</v>
      </c>
      <c r="F24" t="s">
        <v>103</v>
      </c>
      <c r="G24" t="s">
        <v>13</v>
      </c>
      <c r="H24" t="s">
        <v>33</v>
      </c>
    </row>
    <row r="25" spans="1:8" x14ac:dyDescent="0.3">
      <c r="A25" t="s">
        <v>104</v>
      </c>
      <c r="B25" t="s">
        <v>105</v>
      </c>
      <c r="C25">
        <v>52</v>
      </c>
      <c r="D25" t="s">
        <v>17</v>
      </c>
      <c r="E25" t="s">
        <v>106</v>
      </c>
      <c r="F25" t="s">
        <v>37</v>
      </c>
      <c r="G25" t="s">
        <v>13</v>
      </c>
      <c r="H25" t="s">
        <v>33</v>
      </c>
    </row>
    <row r="26" spans="1:8" x14ac:dyDescent="0.3">
      <c r="A26" t="s">
        <v>107</v>
      </c>
      <c r="B26" t="s">
        <v>108</v>
      </c>
      <c r="C26">
        <v>40</v>
      </c>
      <c r="D26" t="s">
        <v>10</v>
      </c>
      <c r="E26" t="s">
        <v>109</v>
      </c>
      <c r="F26" t="s">
        <v>110</v>
      </c>
      <c r="G26" t="s">
        <v>13</v>
      </c>
      <c r="H26" t="s">
        <v>14</v>
      </c>
    </row>
    <row r="27" spans="1:8" x14ac:dyDescent="0.3">
      <c r="A27" t="s">
        <v>111</v>
      </c>
      <c r="B27" t="s">
        <v>112</v>
      </c>
      <c r="C27">
        <v>59</v>
      </c>
      <c r="D27" t="s">
        <v>17</v>
      </c>
      <c r="E27" t="s">
        <v>113</v>
      </c>
      <c r="F27" t="s">
        <v>32</v>
      </c>
      <c r="G27" t="s">
        <v>13</v>
      </c>
      <c r="H27" t="s">
        <v>28</v>
      </c>
    </row>
    <row r="28" spans="1:8" x14ac:dyDescent="0.3">
      <c r="A28" t="s">
        <v>114</v>
      </c>
      <c r="B28" t="s">
        <v>115</v>
      </c>
      <c r="C28">
        <v>18</v>
      </c>
      <c r="D28" t="s">
        <v>17</v>
      </c>
      <c r="E28" t="s">
        <v>116</v>
      </c>
      <c r="F28" t="s">
        <v>117</v>
      </c>
      <c r="G28" t="s">
        <v>13</v>
      </c>
      <c r="H28" t="s">
        <v>50</v>
      </c>
    </row>
    <row r="29" spans="1:8" x14ac:dyDescent="0.3">
      <c r="A29" t="s">
        <v>118</v>
      </c>
      <c r="B29" t="s">
        <v>119</v>
      </c>
      <c r="C29">
        <v>31</v>
      </c>
      <c r="D29" t="s">
        <v>10</v>
      </c>
      <c r="E29" t="s">
        <v>120</v>
      </c>
      <c r="F29" t="s">
        <v>121</v>
      </c>
      <c r="G29" t="s">
        <v>13</v>
      </c>
      <c r="H29" t="s">
        <v>14</v>
      </c>
    </row>
    <row r="30" spans="1:8" x14ac:dyDescent="0.3">
      <c r="A30" t="s">
        <v>122</v>
      </c>
      <c r="B30" t="s">
        <v>123</v>
      </c>
      <c r="C30">
        <v>27</v>
      </c>
      <c r="D30" t="s">
        <v>17</v>
      </c>
      <c r="E30" t="s">
        <v>124</v>
      </c>
      <c r="F30" t="s">
        <v>91</v>
      </c>
      <c r="G30" t="s">
        <v>13</v>
      </c>
      <c r="H30" t="s">
        <v>14</v>
      </c>
    </row>
    <row r="31" spans="1:8" x14ac:dyDescent="0.3">
      <c r="A31" t="s">
        <v>125</v>
      </c>
      <c r="B31" t="s">
        <v>126</v>
      </c>
      <c r="C31">
        <v>54</v>
      </c>
      <c r="D31" t="s">
        <v>17</v>
      </c>
      <c r="E31" t="s">
        <v>127</v>
      </c>
      <c r="F31" t="s">
        <v>32</v>
      </c>
      <c r="G31" t="s">
        <v>13</v>
      </c>
      <c r="H31" t="s">
        <v>33</v>
      </c>
    </row>
    <row r="32" spans="1:8" x14ac:dyDescent="0.3">
      <c r="A32" t="s">
        <v>128</v>
      </c>
      <c r="B32" t="s">
        <v>129</v>
      </c>
      <c r="C32">
        <v>64</v>
      </c>
      <c r="D32" t="s">
        <v>17</v>
      </c>
      <c r="E32" t="s">
        <v>130</v>
      </c>
      <c r="F32" t="s">
        <v>54</v>
      </c>
      <c r="G32" t="s">
        <v>13</v>
      </c>
      <c r="H32" t="s">
        <v>28</v>
      </c>
    </row>
    <row r="33" spans="1:8" x14ac:dyDescent="0.3">
      <c r="A33" t="s">
        <v>131</v>
      </c>
      <c r="B33" t="s">
        <v>132</v>
      </c>
      <c r="C33">
        <v>41</v>
      </c>
      <c r="D33" t="s">
        <v>10</v>
      </c>
      <c r="E33" t="s">
        <v>133</v>
      </c>
      <c r="F33" t="s">
        <v>37</v>
      </c>
      <c r="G33" t="s">
        <v>13</v>
      </c>
      <c r="H33" t="s">
        <v>33</v>
      </c>
    </row>
    <row r="34" spans="1:8" x14ac:dyDescent="0.3">
      <c r="A34" t="s">
        <v>134</v>
      </c>
      <c r="B34" t="s">
        <v>135</v>
      </c>
      <c r="C34">
        <v>48</v>
      </c>
      <c r="D34" t="s">
        <v>17</v>
      </c>
      <c r="E34" t="s">
        <v>136</v>
      </c>
      <c r="F34" t="s">
        <v>137</v>
      </c>
      <c r="G34" t="s">
        <v>13</v>
      </c>
      <c r="H34" t="s">
        <v>50</v>
      </c>
    </row>
    <row r="35" spans="1:8" x14ac:dyDescent="0.3">
      <c r="A35" t="s">
        <v>138</v>
      </c>
      <c r="B35" t="s">
        <v>139</v>
      </c>
      <c r="C35">
        <v>25</v>
      </c>
      <c r="D35" t="s">
        <v>10</v>
      </c>
      <c r="E35" t="s">
        <v>140</v>
      </c>
      <c r="F35" t="s">
        <v>99</v>
      </c>
      <c r="G35" t="s">
        <v>13</v>
      </c>
      <c r="H35" t="s">
        <v>14</v>
      </c>
    </row>
    <row r="36" spans="1:8" x14ac:dyDescent="0.3">
      <c r="A36" t="s">
        <v>141</v>
      </c>
      <c r="B36" t="s">
        <v>142</v>
      </c>
      <c r="C36">
        <v>27</v>
      </c>
      <c r="D36" t="s">
        <v>17</v>
      </c>
      <c r="E36" t="s">
        <v>143</v>
      </c>
      <c r="F36" t="s">
        <v>144</v>
      </c>
      <c r="G36" t="s">
        <v>13</v>
      </c>
      <c r="H36" t="s">
        <v>14</v>
      </c>
    </row>
    <row r="37" spans="1:8" x14ac:dyDescent="0.3">
      <c r="A37" t="s">
        <v>145</v>
      </c>
      <c r="B37" t="s">
        <v>146</v>
      </c>
      <c r="C37">
        <v>52</v>
      </c>
      <c r="D37" t="s">
        <v>10</v>
      </c>
      <c r="E37" t="s">
        <v>147</v>
      </c>
      <c r="F37" t="s">
        <v>19</v>
      </c>
      <c r="G37" t="s">
        <v>13</v>
      </c>
      <c r="H37" t="s">
        <v>33</v>
      </c>
    </row>
    <row r="38" spans="1:8" x14ac:dyDescent="0.3">
      <c r="A38" t="s">
        <v>148</v>
      </c>
      <c r="B38" t="s">
        <v>149</v>
      </c>
      <c r="C38">
        <v>20</v>
      </c>
      <c r="D38" t="s">
        <v>17</v>
      </c>
      <c r="E38" t="s">
        <v>150</v>
      </c>
      <c r="F38" t="s">
        <v>84</v>
      </c>
      <c r="G38" t="s">
        <v>13</v>
      </c>
      <c r="H38" t="s">
        <v>50</v>
      </c>
    </row>
    <row r="39" spans="1:8" x14ac:dyDescent="0.3">
      <c r="A39" t="s">
        <v>151</v>
      </c>
      <c r="B39" t="s">
        <v>152</v>
      </c>
      <c r="C39">
        <v>27</v>
      </c>
      <c r="D39" t="s">
        <v>17</v>
      </c>
      <c r="E39" t="s">
        <v>153</v>
      </c>
      <c r="F39" t="s">
        <v>41</v>
      </c>
      <c r="G39" t="s">
        <v>13</v>
      </c>
      <c r="H39" t="s">
        <v>14</v>
      </c>
    </row>
    <row r="40" spans="1:8" x14ac:dyDescent="0.3">
      <c r="A40" t="s">
        <v>154</v>
      </c>
      <c r="B40" t="s">
        <v>155</v>
      </c>
      <c r="C40">
        <v>35</v>
      </c>
      <c r="D40" t="s">
        <v>17</v>
      </c>
      <c r="E40" t="s">
        <v>156</v>
      </c>
      <c r="F40" t="s">
        <v>19</v>
      </c>
      <c r="G40" t="s">
        <v>13</v>
      </c>
      <c r="H40" t="s">
        <v>28</v>
      </c>
    </row>
    <row r="41" spans="1:8" x14ac:dyDescent="0.3">
      <c r="A41" t="s">
        <v>157</v>
      </c>
      <c r="B41" t="s">
        <v>158</v>
      </c>
      <c r="C41">
        <v>55</v>
      </c>
      <c r="D41" t="s">
        <v>17</v>
      </c>
      <c r="E41" t="s">
        <v>159</v>
      </c>
      <c r="F41" t="s">
        <v>160</v>
      </c>
      <c r="G41" t="s">
        <v>13</v>
      </c>
      <c r="H41" t="s">
        <v>50</v>
      </c>
    </row>
    <row r="42" spans="1:8" x14ac:dyDescent="0.3">
      <c r="A42" t="s">
        <v>161</v>
      </c>
      <c r="B42" t="s">
        <v>162</v>
      </c>
      <c r="C42">
        <v>50</v>
      </c>
      <c r="D42" t="s">
        <v>10</v>
      </c>
      <c r="E42" t="s">
        <v>163</v>
      </c>
      <c r="F42" t="s">
        <v>65</v>
      </c>
      <c r="G42" t="s">
        <v>13</v>
      </c>
      <c r="H42" t="s">
        <v>50</v>
      </c>
    </row>
    <row r="43" spans="1:8" x14ac:dyDescent="0.3">
      <c r="A43" t="s">
        <v>164</v>
      </c>
      <c r="B43" t="s">
        <v>165</v>
      </c>
      <c r="C43">
        <v>21</v>
      </c>
      <c r="D43" t="s">
        <v>10</v>
      </c>
      <c r="E43" t="s">
        <v>166</v>
      </c>
      <c r="F43" t="s">
        <v>167</v>
      </c>
      <c r="G43" t="s">
        <v>13</v>
      </c>
      <c r="H43" t="s">
        <v>14</v>
      </c>
    </row>
    <row r="44" spans="1:8" x14ac:dyDescent="0.3">
      <c r="A44" t="s">
        <v>168</v>
      </c>
      <c r="B44" t="s">
        <v>169</v>
      </c>
      <c r="C44">
        <v>19</v>
      </c>
      <c r="D44" t="s">
        <v>10</v>
      </c>
      <c r="E44" t="s">
        <v>170</v>
      </c>
      <c r="F44" t="s">
        <v>171</v>
      </c>
      <c r="G44" t="s">
        <v>13</v>
      </c>
      <c r="H44" t="s">
        <v>14</v>
      </c>
    </row>
    <row r="45" spans="1:8" x14ac:dyDescent="0.3">
      <c r="A45" t="s">
        <v>172</v>
      </c>
      <c r="B45" t="s">
        <v>173</v>
      </c>
      <c r="C45">
        <v>45</v>
      </c>
      <c r="D45" t="s">
        <v>10</v>
      </c>
      <c r="E45" t="s">
        <v>174</v>
      </c>
      <c r="F45" t="s">
        <v>175</v>
      </c>
      <c r="G45" t="s">
        <v>13</v>
      </c>
      <c r="H45" t="s">
        <v>50</v>
      </c>
    </row>
    <row r="46" spans="1:8" x14ac:dyDescent="0.3">
      <c r="A46" t="s">
        <v>176</v>
      </c>
      <c r="B46" t="s">
        <v>177</v>
      </c>
      <c r="C46">
        <v>34</v>
      </c>
      <c r="D46" t="s">
        <v>10</v>
      </c>
      <c r="E46" t="s">
        <v>178</v>
      </c>
      <c r="F46" t="s">
        <v>103</v>
      </c>
      <c r="G46" t="s">
        <v>13</v>
      </c>
      <c r="H46" t="s">
        <v>28</v>
      </c>
    </row>
    <row r="47" spans="1:8" x14ac:dyDescent="0.3">
      <c r="A47" t="s">
        <v>179</v>
      </c>
      <c r="B47" t="s">
        <v>180</v>
      </c>
      <c r="C47">
        <v>54</v>
      </c>
      <c r="D47" t="s">
        <v>10</v>
      </c>
      <c r="E47" t="s">
        <v>181</v>
      </c>
      <c r="F47" t="s">
        <v>137</v>
      </c>
      <c r="G47" t="s">
        <v>13</v>
      </c>
      <c r="H47" t="s">
        <v>50</v>
      </c>
    </row>
    <row r="48" spans="1:8" x14ac:dyDescent="0.3">
      <c r="A48" t="s">
        <v>182</v>
      </c>
      <c r="B48" t="s">
        <v>183</v>
      </c>
      <c r="C48">
        <v>55</v>
      </c>
      <c r="D48" t="s">
        <v>17</v>
      </c>
      <c r="E48" t="s">
        <v>184</v>
      </c>
      <c r="F48" t="s">
        <v>27</v>
      </c>
      <c r="G48" t="s">
        <v>13</v>
      </c>
      <c r="H48" t="s">
        <v>14</v>
      </c>
    </row>
    <row r="49" spans="1:8" x14ac:dyDescent="0.3">
      <c r="A49" t="s">
        <v>185</v>
      </c>
      <c r="B49" t="s">
        <v>186</v>
      </c>
      <c r="C49">
        <v>54</v>
      </c>
      <c r="D49" t="s">
        <v>17</v>
      </c>
      <c r="E49" t="s">
        <v>187</v>
      </c>
      <c r="F49" t="s">
        <v>188</v>
      </c>
      <c r="G49" t="s">
        <v>13</v>
      </c>
      <c r="H49" t="s">
        <v>33</v>
      </c>
    </row>
    <row r="50" spans="1:8" x14ac:dyDescent="0.3">
      <c r="A50" t="s">
        <v>189</v>
      </c>
      <c r="B50" t="s">
        <v>190</v>
      </c>
      <c r="C50">
        <v>54</v>
      </c>
      <c r="D50" t="s">
        <v>10</v>
      </c>
      <c r="E50" t="s">
        <v>191</v>
      </c>
      <c r="F50" t="s">
        <v>12</v>
      </c>
      <c r="G50" t="s">
        <v>13</v>
      </c>
      <c r="H50" t="s">
        <v>14</v>
      </c>
    </row>
    <row r="51" spans="1:8" x14ac:dyDescent="0.3">
      <c r="A51" t="s">
        <v>192</v>
      </c>
      <c r="B51" t="s">
        <v>193</v>
      </c>
      <c r="C51">
        <v>45</v>
      </c>
      <c r="D51" t="s">
        <v>17</v>
      </c>
      <c r="E51" t="s">
        <v>194</v>
      </c>
      <c r="F51" t="s">
        <v>27</v>
      </c>
      <c r="G51" t="s">
        <v>13</v>
      </c>
      <c r="H51" t="s">
        <v>50</v>
      </c>
    </row>
    <row r="52" spans="1:8" x14ac:dyDescent="0.3">
      <c r="A52" t="s">
        <v>195</v>
      </c>
      <c r="B52" t="s">
        <v>196</v>
      </c>
      <c r="C52">
        <v>61</v>
      </c>
      <c r="D52" t="s">
        <v>17</v>
      </c>
      <c r="E52" t="s">
        <v>197</v>
      </c>
      <c r="F52" t="s">
        <v>198</v>
      </c>
      <c r="G52" t="s">
        <v>13</v>
      </c>
      <c r="H52" t="s">
        <v>50</v>
      </c>
    </row>
    <row r="53" spans="1:8" x14ac:dyDescent="0.3">
      <c r="A53" t="s">
        <v>199</v>
      </c>
      <c r="B53" t="s">
        <v>200</v>
      </c>
      <c r="C53">
        <v>23</v>
      </c>
      <c r="D53" t="s">
        <v>17</v>
      </c>
      <c r="E53" t="s">
        <v>201</v>
      </c>
      <c r="F53" t="s">
        <v>45</v>
      </c>
      <c r="G53" t="s">
        <v>13</v>
      </c>
      <c r="H53" t="s">
        <v>50</v>
      </c>
    </row>
    <row r="54" spans="1:8" x14ac:dyDescent="0.3">
      <c r="A54" t="s">
        <v>202</v>
      </c>
      <c r="B54" t="s">
        <v>203</v>
      </c>
      <c r="C54">
        <v>55</v>
      </c>
      <c r="D54" t="s">
        <v>10</v>
      </c>
      <c r="E54" t="s">
        <v>204</v>
      </c>
      <c r="F54" t="s">
        <v>205</v>
      </c>
      <c r="G54" t="s">
        <v>13</v>
      </c>
      <c r="H54" t="s">
        <v>28</v>
      </c>
    </row>
    <row r="55" spans="1:8" x14ac:dyDescent="0.3">
      <c r="A55" t="s">
        <v>206</v>
      </c>
      <c r="B55" t="s">
        <v>207</v>
      </c>
      <c r="C55">
        <v>37</v>
      </c>
      <c r="D55" t="s">
        <v>17</v>
      </c>
      <c r="E55" t="s">
        <v>208</v>
      </c>
      <c r="F55" t="s">
        <v>160</v>
      </c>
      <c r="G55" t="s">
        <v>13</v>
      </c>
      <c r="H55" t="s">
        <v>50</v>
      </c>
    </row>
    <row r="56" spans="1:8" x14ac:dyDescent="0.3">
      <c r="A56" t="s">
        <v>209</v>
      </c>
      <c r="B56" t="s">
        <v>210</v>
      </c>
      <c r="C56">
        <v>24</v>
      </c>
      <c r="D56" t="s">
        <v>10</v>
      </c>
      <c r="E56" t="s">
        <v>211</v>
      </c>
      <c r="F56" t="s">
        <v>99</v>
      </c>
      <c r="G56" t="s">
        <v>13</v>
      </c>
      <c r="H56" t="s">
        <v>14</v>
      </c>
    </row>
    <row r="57" spans="1:8" x14ac:dyDescent="0.3">
      <c r="A57" t="s">
        <v>212</v>
      </c>
      <c r="B57" t="s">
        <v>213</v>
      </c>
      <c r="C57">
        <v>56</v>
      </c>
      <c r="D57" t="s">
        <v>17</v>
      </c>
      <c r="E57" t="s">
        <v>214</v>
      </c>
      <c r="F57" t="s">
        <v>205</v>
      </c>
      <c r="G57" t="s">
        <v>13</v>
      </c>
      <c r="H57" t="s">
        <v>28</v>
      </c>
    </row>
    <row r="58" spans="1:8" x14ac:dyDescent="0.3">
      <c r="A58" t="s">
        <v>215</v>
      </c>
      <c r="B58" t="s">
        <v>216</v>
      </c>
      <c r="C58">
        <v>49</v>
      </c>
      <c r="D58" t="s">
        <v>17</v>
      </c>
      <c r="E58" t="s">
        <v>217</v>
      </c>
      <c r="F58" t="s">
        <v>54</v>
      </c>
      <c r="G58" t="s">
        <v>13</v>
      </c>
      <c r="H58" t="s">
        <v>50</v>
      </c>
    </row>
    <row r="59" spans="1:8" x14ac:dyDescent="0.3">
      <c r="A59" t="s">
        <v>218</v>
      </c>
      <c r="B59" t="s">
        <v>219</v>
      </c>
      <c r="C59">
        <v>43</v>
      </c>
      <c r="D59" t="s">
        <v>17</v>
      </c>
      <c r="E59" t="s">
        <v>220</v>
      </c>
      <c r="F59" t="s">
        <v>221</v>
      </c>
      <c r="G59" t="s">
        <v>13</v>
      </c>
      <c r="H59" t="s">
        <v>14</v>
      </c>
    </row>
    <row r="60" spans="1:8" x14ac:dyDescent="0.3">
      <c r="A60" t="s">
        <v>222</v>
      </c>
      <c r="B60" t="s">
        <v>223</v>
      </c>
      <c r="C60">
        <v>51</v>
      </c>
      <c r="D60" t="s">
        <v>10</v>
      </c>
      <c r="E60" t="s">
        <v>224</v>
      </c>
      <c r="F60" t="s">
        <v>144</v>
      </c>
      <c r="G60" t="s">
        <v>13</v>
      </c>
      <c r="H60" t="s">
        <v>14</v>
      </c>
    </row>
    <row r="61" spans="1:8" x14ac:dyDescent="0.3">
      <c r="A61" t="s">
        <v>225</v>
      </c>
      <c r="B61" t="s">
        <v>226</v>
      </c>
      <c r="C61">
        <v>53</v>
      </c>
      <c r="D61" t="s">
        <v>10</v>
      </c>
      <c r="E61" t="s">
        <v>227</v>
      </c>
      <c r="F61" t="s">
        <v>69</v>
      </c>
      <c r="G61" t="s">
        <v>13</v>
      </c>
      <c r="H61" t="s">
        <v>14</v>
      </c>
    </row>
    <row r="62" spans="1:8" x14ac:dyDescent="0.3">
      <c r="A62" t="s">
        <v>228</v>
      </c>
      <c r="B62" t="s">
        <v>229</v>
      </c>
      <c r="C62">
        <v>22</v>
      </c>
      <c r="D62" t="s">
        <v>17</v>
      </c>
      <c r="E62" t="s">
        <v>230</v>
      </c>
      <c r="F62" t="s">
        <v>167</v>
      </c>
      <c r="G62" t="s">
        <v>13</v>
      </c>
      <c r="H62" t="s">
        <v>33</v>
      </c>
    </row>
    <row r="63" spans="1:8" x14ac:dyDescent="0.3">
      <c r="A63" t="s">
        <v>231</v>
      </c>
      <c r="B63" t="s">
        <v>232</v>
      </c>
      <c r="C63">
        <v>23</v>
      </c>
      <c r="D63" t="s">
        <v>10</v>
      </c>
      <c r="E63" t="s">
        <v>233</v>
      </c>
      <c r="F63" t="s">
        <v>117</v>
      </c>
      <c r="G63" t="s">
        <v>13</v>
      </c>
      <c r="H63" t="s">
        <v>33</v>
      </c>
    </row>
    <row r="64" spans="1:8" x14ac:dyDescent="0.3">
      <c r="A64" t="s">
        <v>234</v>
      </c>
      <c r="B64" t="s">
        <v>235</v>
      </c>
      <c r="C64">
        <v>50</v>
      </c>
      <c r="D64" t="s">
        <v>10</v>
      </c>
      <c r="E64" t="s">
        <v>236</v>
      </c>
      <c r="F64" t="s">
        <v>237</v>
      </c>
      <c r="G64" t="s">
        <v>13</v>
      </c>
      <c r="H64" t="s">
        <v>28</v>
      </c>
    </row>
    <row r="65" spans="1:8" x14ac:dyDescent="0.3">
      <c r="A65" t="s">
        <v>238</v>
      </c>
      <c r="B65" t="s">
        <v>239</v>
      </c>
      <c r="C65">
        <v>51</v>
      </c>
      <c r="D65" t="s">
        <v>10</v>
      </c>
      <c r="E65" t="s">
        <v>240</v>
      </c>
      <c r="F65" t="s">
        <v>241</v>
      </c>
      <c r="G65" t="s">
        <v>13</v>
      </c>
      <c r="H65" t="s">
        <v>14</v>
      </c>
    </row>
    <row r="66" spans="1:8" x14ac:dyDescent="0.3">
      <c r="A66" t="s">
        <v>242</v>
      </c>
      <c r="B66" t="s">
        <v>243</v>
      </c>
      <c r="C66">
        <v>33</v>
      </c>
      <c r="D66" t="s">
        <v>10</v>
      </c>
      <c r="E66" t="s">
        <v>244</v>
      </c>
      <c r="F66" t="s">
        <v>137</v>
      </c>
      <c r="G66" t="s">
        <v>13</v>
      </c>
      <c r="H66" t="s">
        <v>50</v>
      </c>
    </row>
    <row r="67" spans="1:8" x14ac:dyDescent="0.3">
      <c r="A67" t="s">
        <v>245</v>
      </c>
      <c r="B67" t="s">
        <v>246</v>
      </c>
      <c r="C67">
        <v>21</v>
      </c>
      <c r="D67" t="s">
        <v>17</v>
      </c>
      <c r="E67" t="s">
        <v>247</v>
      </c>
      <c r="F67" t="s">
        <v>188</v>
      </c>
      <c r="G67" t="s">
        <v>13</v>
      </c>
      <c r="H67" t="s">
        <v>33</v>
      </c>
    </row>
    <row r="68" spans="1:8" x14ac:dyDescent="0.3">
      <c r="A68" t="s">
        <v>248</v>
      </c>
      <c r="B68" t="s">
        <v>249</v>
      </c>
      <c r="C68">
        <v>27</v>
      </c>
      <c r="D68" t="s">
        <v>17</v>
      </c>
      <c r="E68" t="s">
        <v>250</v>
      </c>
      <c r="F68" t="s">
        <v>49</v>
      </c>
      <c r="G68" t="s">
        <v>13</v>
      </c>
      <c r="H68" t="s">
        <v>33</v>
      </c>
    </row>
    <row r="69" spans="1:8" x14ac:dyDescent="0.3">
      <c r="A69" t="s">
        <v>251</v>
      </c>
      <c r="B69" t="s">
        <v>252</v>
      </c>
      <c r="C69">
        <v>58</v>
      </c>
      <c r="D69" t="s">
        <v>10</v>
      </c>
      <c r="E69" t="s">
        <v>253</v>
      </c>
      <c r="F69" t="s">
        <v>254</v>
      </c>
      <c r="G69" t="s">
        <v>13</v>
      </c>
      <c r="H69" t="s">
        <v>33</v>
      </c>
    </row>
    <row r="70" spans="1:8" x14ac:dyDescent="0.3">
      <c r="A70" t="s">
        <v>255</v>
      </c>
      <c r="B70" t="s">
        <v>256</v>
      </c>
      <c r="C70">
        <v>24</v>
      </c>
      <c r="D70" t="s">
        <v>17</v>
      </c>
      <c r="E70" t="s">
        <v>257</v>
      </c>
      <c r="F70" t="s">
        <v>258</v>
      </c>
      <c r="G70" t="s">
        <v>13</v>
      </c>
      <c r="H70" t="s">
        <v>33</v>
      </c>
    </row>
    <row r="71" spans="1:8" x14ac:dyDescent="0.3">
      <c r="A71" t="s">
        <v>259</v>
      </c>
      <c r="B71" t="s">
        <v>260</v>
      </c>
      <c r="C71">
        <v>24</v>
      </c>
      <c r="D71" t="s">
        <v>17</v>
      </c>
      <c r="E71" t="s">
        <v>261</v>
      </c>
      <c r="F71" t="s">
        <v>91</v>
      </c>
      <c r="G71" t="s">
        <v>13</v>
      </c>
      <c r="H71" t="s">
        <v>14</v>
      </c>
    </row>
    <row r="72" spans="1:8" x14ac:dyDescent="0.3">
      <c r="A72" t="s">
        <v>262</v>
      </c>
      <c r="B72" t="s">
        <v>263</v>
      </c>
      <c r="C72">
        <v>29</v>
      </c>
      <c r="D72" t="s">
        <v>17</v>
      </c>
      <c r="E72" t="s">
        <v>264</v>
      </c>
      <c r="F72" t="s">
        <v>237</v>
      </c>
      <c r="G72" t="s">
        <v>13</v>
      </c>
      <c r="H72" t="s">
        <v>50</v>
      </c>
    </row>
    <row r="73" spans="1:8" x14ac:dyDescent="0.3">
      <c r="A73" t="s">
        <v>265</v>
      </c>
      <c r="B73" t="s">
        <v>266</v>
      </c>
      <c r="C73">
        <v>61</v>
      </c>
      <c r="D73" t="s">
        <v>17</v>
      </c>
      <c r="E73" t="s">
        <v>267</v>
      </c>
      <c r="F73" t="s">
        <v>237</v>
      </c>
      <c r="G73" t="s">
        <v>13</v>
      </c>
      <c r="H73" t="s">
        <v>50</v>
      </c>
    </row>
    <row r="74" spans="1:8" x14ac:dyDescent="0.3">
      <c r="A74" t="s">
        <v>268</v>
      </c>
      <c r="B74" t="s">
        <v>269</v>
      </c>
      <c r="C74">
        <v>39</v>
      </c>
      <c r="D74" t="s">
        <v>17</v>
      </c>
      <c r="E74" t="s">
        <v>270</v>
      </c>
      <c r="F74" t="s">
        <v>271</v>
      </c>
      <c r="G74" t="s">
        <v>13</v>
      </c>
      <c r="H74" t="s">
        <v>50</v>
      </c>
    </row>
    <row r="75" spans="1:8" x14ac:dyDescent="0.3">
      <c r="A75" t="s">
        <v>272</v>
      </c>
      <c r="B75" t="s">
        <v>273</v>
      </c>
      <c r="C75">
        <v>56</v>
      </c>
      <c r="D75" t="s">
        <v>17</v>
      </c>
      <c r="E75" t="s">
        <v>274</v>
      </c>
      <c r="F75" t="s">
        <v>45</v>
      </c>
      <c r="G75" t="s">
        <v>13</v>
      </c>
      <c r="H75" t="s">
        <v>33</v>
      </c>
    </row>
    <row r="76" spans="1:8" x14ac:dyDescent="0.3">
      <c r="A76" t="s">
        <v>275</v>
      </c>
      <c r="B76" t="s">
        <v>276</v>
      </c>
      <c r="C76">
        <v>58</v>
      </c>
      <c r="D76" t="s">
        <v>10</v>
      </c>
      <c r="E76" t="s">
        <v>277</v>
      </c>
      <c r="F76" t="s">
        <v>278</v>
      </c>
      <c r="G76" t="s">
        <v>13</v>
      </c>
      <c r="H76" t="s">
        <v>28</v>
      </c>
    </row>
    <row r="77" spans="1:8" x14ac:dyDescent="0.3">
      <c r="A77" t="s">
        <v>279</v>
      </c>
      <c r="B77" t="s">
        <v>280</v>
      </c>
      <c r="C77">
        <v>61</v>
      </c>
      <c r="D77" t="s">
        <v>17</v>
      </c>
      <c r="E77" t="s">
        <v>281</v>
      </c>
      <c r="F77" t="s">
        <v>32</v>
      </c>
      <c r="G77" t="s">
        <v>13</v>
      </c>
      <c r="H77" t="s">
        <v>50</v>
      </c>
    </row>
    <row r="78" spans="1:8" x14ac:dyDescent="0.3">
      <c r="A78" t="s">
        <v>282</v>
      </c>
      <c r="B78" t="s">
        <v>283</v>
      </c>
      <c r="C78">
        <v>37</v>
      </c>
      <c r="D78" t="s">
        <v>10</v>
      </c>
      <c r="E78" t="s">
        <v>284</v>
      </c>
      <c r="F78" t="s">
        <v>99</v>
      </c>
      <c r="G78" t="s">
        <v>13</v>
      </c>
      <c r="H78" t="s">
        <v>50</v>
      </c>
    </row>
    <row r="79" spans="1:8" x14ac:dyDescent="0.3">
      <c r="A79" t="s">
        <v>285</v>
      </c>
      <c r="B79" t="s">
        <v>286</v>
      </c>
      <c r="C79">
        <v>29</v>
      </c>
      <c r="D79" t="s">
        <v>10</v>
      </c>
      <c r="E79" t="s">
        <v>287</v>
      </c>
      <c r="F79" t="s">
        <v>175</v>
      </c>
      <c r="G79" t="s">
        <v>13</v>
      </c>
      <c r="H79" t="s">
        <v>50</v>
      </c>
    </row>
    <row r="80" spans="1:8" x14ac:dyDescent="0.3">
      <c r="A80" t="s">
        <v>288</v>
      </c>
      <c r="B80" t="s">
        <v>289</v>
      </c>
      <c r="C80">
        <v>21</v>
      </c>
      <c r="D80" t="s">
        <v>10</v>
      </c>
      <c r="E80" t="s">
        <v>290</v>
      </c>
      <c r="F80" t="s">
        <v>291</v>
      </c>
      <c r="G80" t="s">
        <v>13</v>
      </c>
      <c r="H80" t="s">
        <v>50</v>
      </c>
    </row>
    <row r="81" spans="1:8" x14ac:dyDescent="0.3">
      <c r="A81" t="s">
        <v>292</v>
      </c>
      <c r="B81" t="s">
        <v>293</v>
      </c>
      <c r="C81">
        <v>22</v>
      </c>
      <c r="D81" t="s">
        <v>17</v>
      </c>
      <c r="E81" t="s">
        <v>294</v>
      </c>
      <c r="F81" t="s">
        <v>295</v>
      </c>
      <c r="G81" t="s">
        <v>13</v>
      </c>
      <c r="H81" t="s">
        <v>14</v>
      </c>
    </row>
    <row r="82" spans="1:8" x14ac:dyDescent="0.3">
      <c r="A82" t="s">
        <v>296</v>
      </c>
      <c r="B82" t="s">
        <v>297</v>
      </c>
      <c r="C82">
        <v>61</v>
      </c>
      <c r="D82" t="s">
        <v>17</v>
      </c>
      <c r="E82" t="s">
        <v>298</v>
      </c>
      <c r="F82" t="s">
        <v>237</v>
      </c>
      <c r="G82" t="s">
        <v>13</v>
      </c>
      <c r="H82" t="s">
        <v>28</v>
      </c>
    </row>
    <row r="83" spans="1:8" x14ac:dyDescent="0.3">
      <c r="A83" t="s">
        <v>299</v>
      </c>
      <c r="B83" t="s">
        <v>300</v>
      </c>
      <c r="C83">
        <v>34</v>
      </c>
      <c r="D83" t="s">
        <v>17</v>
      </c>
      <c r="E83" t="s">
        <v>301</v>
      </c>
      <c r="F83" t="s">
        <v>137</v>
      </c>
      <c r="G83" t="s">
        <v>13</v>
      </c>
      <c r="H83" t="s">
        <v>14</v>
      </c>
    </row>
    <row r="84" spans="1:8" x14ac:dyDescent="0.3">
      <c r="A84" t="s">
        <v>302</v>
      </c>
      <c r="B84" t="s">
        <v>303</v>
      </c>
      <c r="C84">
        <v>53</v>
      </c>
      <c r="D84" t="s">
        <v>10</v>
      </c>
      <c r="E84" t="s">
        <v>304</v>
      </c>
      <c r="F84" t="s">
        <v>254</v>
      </c>
      <c r="G84" t="s">
        <v>13</v>
      </c>
      <c r="H84" t="s">
        <v>28</v>
      </c>
    </row>
    <row r="85" spans="1:8" x14ac:dyDescent="0.3">
      <c r="A85" t="s">
        <v>305</v>
      </c>
      <c r="B85" t="s">
        <v>306</v>
      </c>
      <c r="C85">
        <v>48</v>
      </c>
      <c r="D85" t="s">
        <v>17</v>
      </c>
      <c r="E85" t="s">
        <v>307</v>
      </c>
      <c r="F85" t="s">
        <v>84</v>
      </c>
      <c r="G85" t="s">
        <v>13</v>
      </c>
      <c r="H85" t="s">
        <v>28</v>
      </c>
    </row>
    <row r="86" spans="1:8" x14ac:dyDescent="0.3">
      <c r="A86" t="s">
        <v>308</v>
      </c>
      <c r="B86" t="s">
        <v>309</v>
      </c>
      <c r="C86">
        <v>26</v>
      </c>
      <c r="D86" t="s">
        <v>17</v>
      </c>
      <c r="E86" t="s">
        <v>310</v>
      </c>
      <c r="F86" t="s">
        <v>258</v>
      </c>
      <c r="G86" t="s">
        <v>13</v>
      </c>
      <c r="H86" t="s">
        <v>14</v>
      </c>
    </row>
    <row r="87" spans="1:8" x14ac:dyDescent="0.3">
      <c r="A87" t="s">
        <v>311</v>
      </c>
      <c r="B87" t="s">
        <v>312</v>
      </c>
      <c r="C87">
        <v>36</v>
      </c>
      <c r="D87" t="s">
        <v>10</v>
      </c>
      <c r="E87" t="s">
        <v>313</v>
      </c>
      <c r="F87" t="s">
        <v>54</v>
      </c>
      <c r="G87" t="s">
        <v>13</v>
      </c>
      <c r="H87" t="s">
        <v>33</v>
      </c>
    </row>
    <row r="88" spans="1:8" x14ac:dyDescent="0.3">
      <c r="A88" t="s">
        <v>314</v>
      </c>
      <c r="B88" t="s">
        <v>315</v>
      </c>
      <c r="C88">
        <v>19</v>
      </c>
      <c r="D88" t="s">
        <v>17</v>
      </c>
      <c r="E88" t="s">
        <v>316</v>
      </c>
      <c r="F88" t="s">
        <v>317</v>
      </c>
      <c r="G88" t="s">
        <v>13</v>
      </c>
      <c r="H88" t="s">
        <v>50</v>
      </c>
    </row>
    <row r="89" spans="1:8" x14ac:dyDescent="0.3">
      <c r="A89" t="s">
        <v>318</v>
      </c>
      <c r="B89" t="s">
        <v>319</v>
      </c>
      <c r="C89">
        <v>58</v>
      </c>
      <c r="D89" t="s">
        <v>17</v>
      </c>
      <c r="E89" t="s">
        <v>320</v>
      </c>
      <c r="F89" t="s">
        <v>321</v>
      </c>
      <c r="G89" t="s">
        <v>13</v>
      </c>
      <c r="H89" t="s">
        <v>28</v>
      </c>
    </row>
    <row r="90" spans="1:8" x14ac:dyDescent="0.3">
      <c r="A90" t="s">
        <v>322</v>
      </c>
      <c r="B90" t="s">
        <v>323</v>
      </c>
      <c r="C90">
        <v>58</v>
      </c>
      <c r="D90" t="s">
        <v>10</v>
      </c>
      <c r="E90" t="s">
        <v>324</v>
      </c>
      <c r="F90" t="s">
        <v>295</v>
      </c>
      <c r="G90" t="s">
        <v>13</v>
      </c>
      <c r="H90" t="s">
        <v>33</v>
      </c>
    </row>
    <row r="91" spans="1:8" x14ac:dyDescent="0.3">
      <c r="A91" t="s">
        <v>325</v>
      </c>
      <c r="B91" t="s">
        <v>326</v>
      </c>
      <c r="C91">
        <v>43</v>
      </c>
      <c r="D91" t="s">
        <v>10</v>
      </c>
      <c r="E91" t="s">
        <v>327</v>
      </c>
      <c r="F91" t="s">
        <v>328</v>
      </c>
      <c r="G91" t="s">
        <v>13</v>
      </c>
      <c r="H91" t="s">
        <v>14</v>
      </c>
    </row>
    <row r="92" spans="1:8" x14ac:dyDescent="0.3">
      <c r="A92" t="s">
        <v>329</v>
      </c>
      <c r="B92" t="s">
        <v>330</v>
      </c>
      <c r="C92">
        <v>58</v>
      </c>
      <c r="D92" t="s">
        <v>17</v>
      </c>
      <c r="E92" t="s">
        <v>331</v>
      </c>
      <c r="F92" t="s">
        <v>332</v>
      </c>
      <c r="G92" t="s">
        <v>13</v>
      </c>
      <c r="H92" t="s">
        <v>14</v>
      </c>
    </row>
    <row r="93" spans="1:8" x14ac:dyDescent="0.3">
      <c r="A93" t="s">
        <v>333</v>
      </c>
      <c r="B93" t="s">
        <v>334</v>
      </c>
      <c r="C93">
        <v>29</v>
      </c>
      <c r="D93" t="s">
        <v>17</v>
      </c>
      <c r="E93" t="s">
        <v>335</v>
      </c>
      <c r="F93" t="s">
        <v>137</v>
      </c>
      <c r="G93" t="s">
        <v>13</v>
      </c>
      <c r="H93" t="s">
        <v>33</v>
      </c>
    </row>
    <row r="94" spans="1:8" x14ac:dyDescent="0.3">
      <c r="A94" t="s">
        <v>336</v>
      </c>
      <c r="B94" t="s">
        <v>337</v>
      </c>
      <c r="C94">
        <v>44</v>
      </c>
      <c r="D94" t="s">
        <v>17</v>
      </c>
      <c r="E94" t="s">
        <v>338</v>
      </c>
      <c r="F94" t="s">
        <v>241</v>
      </c>
      <c r="G94" t="s">
        <v>13</v>
      </c>
      <c r="H94" t="s">
        <v>14</v>
      </c>
    </row>
    <row r="95" spans="1:8" x14ac:dyDescent="0.3">
      <c r="A95" t="s">
        <v>339</v>
      </c>
      <c r="B95" t="s">
        <v>340</v>
      </c>
      <c r="C95">
        <v>28</v>
      </c>
      <c r="D95" t="s">
        <v>17</v>
      </c>
      <c r="E95" t="s">
        <v>341</v>
      </c>
      <c r="F95" t="s">
        <v>321</v>
      </c>
      <c r="G95" t="s">
        <v>13</v>
      </c>
      <c r="H95" t="s">
        <v>50</v>
      </c>
    </row>
    <row r="96" spans="1:8" x14ac:dyDescent="0.3">
      <c r="A96" t="s">
        <v>342</v>
      </c>
      <c r="B96" t="s">
        <v>343</v>
      </c>
      <c r="C96">
        <v>43</v>
      </c>
      <c r="D96" t="s">
        <v>17</v>
      </c>
      <c r="E96" t="s">
        <v>344</v>
      </c>
      <c r="F96" t="s">
        <v>188</v>
      </c>
      <c r="G96" t="s">
        <v>13</v>
      </c>
      <c r="H96" t="s">
        <v>50</v>
      </c>
    </row>
    <row r="97" spans="1:8" x14ac:dyDescent="0.3">
      <c r="A97" t="s">
        <v>345</v>
      </c>
      <c r="B97" t="s">
        <v>346</v>
      </c>
      <c r="C97">
        <v>62</v>
      </c>
      <c r="D97" t="s">
        <v>17</v>
      </c>
      <c r="E97" t="s">
        <v>347</v>
      </c>
      <c r="F97" t="s">
        <v>61</v>
      </c>
      <c r="G97" t="s">
        <v>13</v>
      </c>
      <c r="H97" t="s">
        <v>14</v>
      </c>
    </row>
    <row r="98" spans="1:8" x14ac:dyDescent="0.3">
      <c r="A98" t="s">
        <v>348</v>
      </c>
      <c r="B98" t="s">
        <v>349</v>
      </c>
      <c r="C98">
        <v>30</v>
      </c>
      <c r="D98" t="s">
        <v>17</v>
      </c>
      <c r="E98" t="s">
        <v>350</v>
      </c>
      <c r="F98" t="s">
        <v>332</v>
      </c>
      <c r="G98" t="s">
        <v>13</v>
      </c>
      <c r="H98" t="s">
        <v>14</v>
      </c>
    </row>
    <row r="99" spans="1:8" x14ac:dyDescent="0.3">
      <c r="A99" t="s">
        <v>351</v>
      </c>
      <c r="B99" t="s">
        <v>352</v>
      </c>
      <c r="C99">
        <v>36</v>
      </c>
      <c r="D99" t="s">
        <v>10</v>
      </c>
      <c r="E99" t="s">
        <v>353</v>
      </c>
      <c r="F99" t="s">
        <v>41</v>
      </c>
      <c r="G99" t="s">
        <v>13</v>
      </c>
      <c r="H99" t="s">
        <v>33</v>
      </c>
    </row>
    <row r="100" spans="1:8" x14ac:dyDescent="0.3">
      <c r="A100" t="s">
        <v>354</v>
      </c>
      <c r="B100" t="s">
        <v>355</v>
      </c>
      <c r="C100">
        <v>24</v>
      </c>
      <c r="D100" t="s">
        <v>10</v>
      </c>
      <c r="E100" t="s">
        <v>356</v>
      </c>
      <c r="F100" t="s">
        <v>167</v>
      </c>
      <c r="G100" t="s">
        <v>13</v>
      </c>
      <c r="H100" t="s">
        <v>50</v>
      </c>
    </row>
    <row r="101" spans="1:8" x14ac:dyDescent="0.3">
      <c r="A101" t="s">
        <v>357</v>
      </c>
      <c r="B101" t="s">
        <v>358</v>
      </c>
      <c r="C101">
        <v>35</v>
      </c>
      <c r="D101" t="s">
        <v>10</v>
      </c>
      <c r="E101" t="s">
        <v>359</v>
      </c>
      <c r="F101" t="s">
        <v>241</v>
      </c>
      <c r="G101" t="s">
        <v>13</v>
      </c>
      <c r="H101" t="s">
        <v>33</v>
      </c>
    </row>
    <row r="102" spans="1:8" x14ac:dyDescent="0.3">
      <c r="A102" t="s">
        <v>360</v>
      </c>
      <c r="B102" t="s">
        <v>361</v>
      </c>
      <c r="C102">
        <v>53</v>
      </c>
      <c r="D102" t="s">
        <v>17</v>
      </c>
      <c r="E102" t="s">
        <v>362</v>
      </c>
      <c r="F102" t="s">
        <v>363</v>
      </c>
      <c r="G102" t="s">
        <v>13</v>
      </c>
      <c r="H102" t="s">
        <v>14</v>
      </c>
    </row>
    <row r="103" spans="1:8" x14ac:dyDescent="0.3">
      <c r="A103" t="s">
        <v>364</v>
      </c>
      <c r="B103" t="s">
        <v>365</v>
      </c>
      <c r="C103">
        <v>29</v>
      </c>
      <c r="D103" t="s">
        <v>10</v>
      </c>
      <c r="E103" t="s">
        <v>366</v>
      </c>
      <c r="F103" t="s">
        <v>121</v>
      </c>
      <c r="G103" t="s">
        <v>13</v>
      </c>
      <c r="H103" t="s">
        <v>50</v>
      </c>
    </row>
    <row r="104" spans="1:8" x14ac:dyDescent="0.3">
      <c r="A104" t="s">
        <v>367</v>
      </c>
      <c r="B104" t="s">
        <v>368</v>
      </c>
      <c r="C104">
        <v>34</v>
      </c>
      <c r="D104" t="s">
        <v>17</v>
      </c>
      <c r="E104" t="s">
        <v>369</v>
      </c>
      <c r="F104" t="s">
        <v>54</v>
      </c>
      <c r="G104" t="s">
        <v>13</v>
      </c>
      <c r="H104" t="s">
        <v>28</v>
      </c>
    </row>
    <row r="105" spans="1:8" x14ac:dyDescent="0.3">
      <c r="A105" t="s">
        <v>370</v>
      </c>
      <c r="B105" t="s">
        <v>371</v>
      </c>
      <c r="C105">
        <v>21</v>
      </c>
      <c r="D105" t="s">
        <v>10</v>
      </c>
      <c r="E105" t="s">
        <v>372</v>
      </c>
      <c r="F105" t="s">
        <v>171</v>
      </c>
      <c r="G105" t="s">
        <v>13</v>
      </c>
      <c r="H105" t="s">
        <v>28</v>
      </c>
    </row>
    <row r="106" spans="1:8" x14ac:dyDescent="0.3">
      <c r="A106" t="s">
        <v>373</v>
      </c>
      <c r="B106" t="s">
        <v>374</v>
      </c>
      <c r="C106">
        <v>64</v>
      </c>
      <c r="D106" t="s">
        <v>10</v>
      </c>
      <c r="E106" t="s">
        <v>375</v>
      </c>
      <c r="F106" t="s">
        <v>84</v>
      </c>
      <c r="G106" t="s">
        <v>13</v>
      </c>
      <c r="H106" t="s">
        <v>33</v>
      </c>
    </row>
    <row r="107" spans="1:8" x14ac:dyDescent="0.3">
      <c r="A107" t="s">
        <v>376</v>
      </c>
      <c r="B107" t="s">
        <v>377</v>
      </c>
      <c r="C107">
        <v>50</v>
      </c>
      <c r="D107" t="s">
        <v>17</v>
      </c>
      <c r="E107" t="s">
        <v>378</v>
      </c>
      <c r="F107" t="s">
        <v>254</v>
      </c>
      <c r="G107" t="s">
        <v>13</v>
      </c>
      <c r="H107" t="s">
        <v>50</v>
      </c>
    </row>
    <row r="108" spans="1:8" x14ac:dyDescent="0.3">
      <c r="A108" t="s">
        <v>379</v>
      </c>
      <c r="B108" t="s">
        <v>380</v>
      </c>
      <c r="C108">
        <v>53</v>
      </c>
      <c r="D108" t="s">
        <v>17</v>
      </c>
      <c r="E108" t="s">
        <v>381</v>
      </c>
      <c r="F108" t="s">
        <v>221</v>
      </c>
      <c r="G108" t="s">
        <v>13</v>
      </c>
      <c r="H108" t="s">
        <v>28</v>
      </c>
    </row>
    <row r="109" spans="1:8" x14ac:dyDescent="0.3">
      <c r="A109" t="s">
        <v>382</v>
      </c>
      <c r="B109" t="s">
        <v>383</v>
      </c>
      <c r="C109">
        <v>62</v>
      </c>
      <c r="D109" t="s">
        <v>17</v>
      </c>
      <c r="E109" t="s">
        <v>384</v>
      </c>
      <c r="F109" t="s">
        <v>19</v>
      </c>
      <c r="G109" t="s">
        <v>13</v>
      </c>
      <c r="H109" t="s">
        <v>14</v>
      </c>
    </row>
    <row r="110" spans="1:8" x14ac:dyDescent="0.3">
      <c r="A110" t="s">
        <v>385</v>
      </c>
      <c r="B110" t="s">
        <v>386</v>
      </c>
      <c r="C110">
        <v>38</v>
      </c>
      <c r="D110" t="s">
        <v>10</v>
      </c>
      <c r="E110" t="s">
        <v>387</v>
      </c>
      <c r="F110" t="s">
        <v>49</v>
      </c>
      <c r="G110" t="s">
        <v>13</v>
      </c>
      <c r="H110" t="s">
        <v>28</v>
      </c>
    </row>
    <row r="111" spans="1:8" x14ac:dyDescent="0.3">
      <c r="A111" t="s">
        <v>388</v>
      </c>
      <c r="B111" t="s">
        <v>389</v>
      </c>
      <c r="C111">
        <v>27</v>
      </c>
      <c r="D111" t="s">
        <v>10</v>
      </c>
      <c r="E111" t="s">
        <v>390</v>
      </c>
      <c r="F111" t="s">
        <v>45</v>
      </c>
      <c r="G111" t="s">
        <v>13</v>
      </c>
      <c r="H111" t="s">
        <v>33</v>
      </c>
    </row>
    <row r="112" spans="1:8" x14ac:dyDescent="0.3">
      <c r="A112" t="s">
        <v>391</v>
      </c>
      <c r="B112" t="s">
        <v>392</v>
      </c>
      <c r="C112">
        <v>40</v>
      </c>
      <c r="D112" t="s">
        <v>17</v>
      </c>
      <c r="E112" t="s">
        <v>393</v>
      </c>
      <c r="F112" t="s">
        <v>144</v>
      </c>
      <c r="G112" t="s">
        <v>13</v>
      </c>
      <c r="H112" t="s">
        <v>50</v>
      </c>
    </row>
    <row r="113" spans="1:8" x14ac:dyDescent="0.3">
      <c r="A113" t="s">
        <v>394</v>
      </c>
      <c r="B113" t="s">
        <v>395</v>
      </c>
      <c r="C113">
        <v>18</v>
      </c>
      <c r="D113" t="s">
        <v>17</v>
      </c>
      <c r="E113" t="s">
        <v>396</v>
      </c>
      <c r="F113" t="s">
        <v>137</v>
      </c>
      <c r="G113" t="s">
        <v>13</v>
      </c>
      <c r="H113" t="s">
        <v>14</v>
      </c>
    </row>
    <row r="114" spans="1:8" x14ac:dyDescent="0.3">
      <c r="A114" t="s">
        <v>397</v>
      </c>
      <c r="B114" t="s">
        <v>398</v>
      </c>
      <c r="C114">
        <v>27</v>
      </c>
      <c r="D114" t="s">
        <v>17</v>
      </c>
      <c r="E114" t="s">
        <v>399</v>
      </c>
      <c r="F114" t="s">
        <v>160</v>
      </c>
      <c r="G114" t="s">
        <v>13</v>
      </c>
      <c r="H114" t="s">
        <v>33</v>
      </c>
    </row>
    <row r="115" spans="1:8" x14ac:dyDescent="0.3">
      <c r="A115" t="s">
        <v>400</v>
      </c>
      <c r="B115" t="s">
        <v>401</v>
      </c>
      <c r="C115">
        <v>51</v>
      </c>
      <c r="D115" t="s">
        <v>10</v>
      </c>
      <c r="E115" t="s">
        <v>402</v>
      </c>
      <c r="F115" t="s">
        <v>237</v>
      </c>
      <c r="G115" t="s">
        <v>13</v>
      </c>
      <c r="H115" t="s">
        <v>50</v>
      </c>
    </row>
    <row r="116" spans="1:8" x14ac:dyDescent="0.3">
      <c r="A116" t="s">
        <v>403</v>
      </c>
      <c r="B116" t="s">
        <v>404</v>
      </c>
      <c r="C116">
        <v>30</v>
      </c>
      <c r="D116" t="s">
        <v>10</v>
      </c>
      <c r="E116" t="s">
        <v>405</v>
      </c>
      <c r="F116" t="s">
        <v>188</v>
      </c>
      <c r="G116" t="s">
        <v>13</v>
      </c>
      <c r="H116" t="s">
        <v>28</v>
      </c>
    </row>
    <row r="117" spans="1:8" x14ac:dyDescent="0.3">
      <c r="A117" t="s">
        <v>406</v>
      </c>
      <c r="B117" t="s">
        <v>407</v>
      </c>
      <c r="C117">
        <v>53</v>
      </c>
      <c r="D117" t="s">
        <v>17</v>
      </c>
      <c r="E117" t="s">
        <v>408</v>
      </c>
      <c r="F117" t="s">
        <v>19</v>
      </c>
      <c r="G117" t="s">
        <v>13</v>
      </c>
      <c r="H117" t="s">
        <v>14</v>
      </c>
    </row>
    <row r="118" spans="1:8" x14ac:dyDescent="0.3">
      <c r="A118" t="s">
        <v>409</v>
      </c>
      <c r="B118" t="s">
        <v>410</v>
      </c>
      <c r="C118">
        <v>18</v>
      </c>
      <c r="D118" t="s">
        <v>17</v>
      </c>
      <c r="E118" t="s">
        <v>411</v>
      </c>
      <c r="F118" t="s">
        <v>221</v>
      </c>
      <c r="G118" t="s">
        <v>13</v>
      </c>
      <c r="H118" t="s">
        <v>14</v>
      </c>
    </row>
    <row r="119" spans="1:8" x14ac:dyDescent="0.3">
      <c r="A119" t="s">
        <v>412</v>
      </c>
      <c r="B119" t="s">
        <v>413</v>
      </c>
      <c r="C119">
        <v>21</v>
      </c>
      <c r="D119" t="s">
        <v>17</v>
      </c>
      <c r="E119" t="s">
        <v>414</v>
      </c>
      <c r="F119" t="s">
        <v>77</v>
      </c>
      <c r="G119" t="s">
        <v>13</v>
      </c>
      <c r="H119" t="s">
        <v>14</v>
      </c>
    </row>
    <row r="120" spans="1:8" x14ac:dyDescent="0.3">
      <c r="A120" t="s">
        <v>415</v>
      </c>
      <c r="B120" t="s">
        <v>416</v>
      </c>
      <c r="C120">
        <v>36</v>
      </c>
      <c r="D120" t="s">
        <v>10</v>
      </c>
      <c r="E120" t="s">
        <v>417</v>
      </c>
      <c r="F120" t="s">
        <v>73</v>
      </c>
      <c r="G120" t="s">
        <v>13</v>
      </c>
      <c r="H120" t="s">
        <v>14</v>
      </c>
    </row>
    <row r="121" spans="1:8" x14ac:dyDescent="0.3">
      <c r="A121" t="s">
        <v>418</v>
      </c>
      <c r="B121" t="s">
        <v>419</v>
      </c>
      <c r="C121">
        <v>40</v>
      </c>
      <c r="D121" t="s">
        <v>10</v>
      </c>
      <c r="E121" t="s">
        <v>420</v>
      </c>
      <c r="F121" t="s">
        <v>241</v>
      </c>
      <c r="G121" t="s">
        <v>13</v>
      </c>
      <c r="H121" t="s">
        <v>28</v>
      </c>
    </row>
    <row r="122" spans="1:8" x14ac:dyDescent="0.3">
      <c r="A122" t="s">
        <v>421</v>
      </c>
      <c r="B122" t="s">
        <v>422</v>
      </c>
      <c r="C122">
        <v>44</v>
      </c>
      <c r="D122" t="s">
        <v>17</v>
      </c>
      <c r="E122" t="s">
        <v>423</v>
      </c>
      <c r="F122" t="s">
        <v>54</v>
      </c>
      <c r="G122" t="s">
        <v>13</v>
      </c>
      <c r="H122" t="s">
        <v>14</v>
      </c>
    </row>
    <row r="123" spans="1:8" x14ac:dyDescent="0.3">
      <c r="A123" t="s">
        <v>424</v>
      </c>
      <c r="B123" t="s">
        <v>425</v>
      </c>
      <c r="C123">
        <v>62</v>
      </c>
      <c r="D123" t="s">
        <v>10</v>
      </c>
      <c r="E123" t="s">
        <v>426</v>
      </c>
      <c r="F123" t="s">
        <v>103</v>
      </c>
      <c r="G123" t="s">
        <v>13</v>
      </c>
      <c r="H123" t="s">
        <v>14</v>
      </c>
    </row>
    <row r="124" spans="1:8" x14ac:dyDescent="0.3">
      <c r="A124" t="s">
        <v>427</v>
      </c>
      <c r="B124" t="s">
        <v>428</v>
      </c>
      <c r="C124">
        <v>50</v>
      </c>
      <c r="D124" t="s">
        <v>10</v>
      </c>
      <c r="E124" t="s">
        <v>429</v>
      </c>
      <c r="F124" t="s">
        <v>12</v>
      </c>
      <c r="G124" t="s">
        <v>13</v>
      </c>
      <c r="H124" t="s">
        <v>14</v>
      </c>
    </row>
    <row r="125" spans="1:8" x14ac:dyDescent="0.3">
      <c r="A125" t="s">
        <v>430</v>
      </c>
      <c r="B125" t="s">
        <v>431</v>
      </c>
      <c r="C125">
        <v>40</v>
      </c>
      <c r="D125" t="s">
        <v>10</v>
      </c>
      <c r="E125" t="s">
        <v>432</v>
      </c>
      <c r="F125" t="s">
        <v>271</v>
      </c>
      <c r="G125" t="s">
        <v>13</v>
      </c>
      <c r="H125" t="s">
        <v>33</v>
      </c>
    </row>
    <row r="126" spans="1:8" x14ac:dyDescent="0.3">
      <c r="A126" t="s">
        <v>433</v>
      </c>
      <c r="B126" t="s">
        <v>434</v>
      </c>
      <c r="C126">
        <v>26</v>
      </c>
      <c r="D126" t="s">
        <v>10</v>
      </c>
      <c r="E126" t="s">
        <v>435</v>
      </c>
      <c r="F126" t="s">
        <v>198</v>
      </c>
      <c r="G126" t="s">
        <v>13</v>
      </c>
      <c r="H126" t="s">
        <v>28</v>
      </c>
    </row>
    <row r="127" spans="1:8" x14ac:dyDescent="0.3">
      <c r="A127" t="s">
        <v>436</v>
      </c>
      <c r="B127" t="s">
        <v>437</v>
      </c>
      <c r="C127">
        <v>64</v>
      </c>
      <c r="D127" t="s">
        <v>17</v>
      </c>
      <c r="E127" t="s">
        <v>438</v>
      </c>
      <c r="F127" t="s">
        <v>439</v>
      </c>
      <c r="G127" t="s">
        <v>13</v>
      </c>
      <c r="H127" t="s">
        <v>14</v>
      </c>
    </row>
    <row r="128" spans="1:8" x14ac:dyDescent="0.3">
      <c r="A128" t="s">
        <v>440</v>
      </c>
      <c r="B128" t="s">
        <v>441</v>
      </c>
      <c r="C128">
        <v>62</v>
      </c>
      <c r="D128" t="s">
        <v>17</v>
      </c>
      <c r="E128" t="s">
        <v>442</v>
      </c>
      <c r="F128" t="s">
        <v>137</v>
      </c>
      <c r="G128" t="s">
        <v>13</v>
      </c>
      <c r="H128" t="s">
        <v>50</v>
      </c>
    </row>
    <row r="129" spans="1:8" x14ac:dyDescent="0.3">
      <c r="A129" t="s">
        <v>443</v>
      </c>
      <c r="B129" t="s">
        <v>444</v>
      </c>
      <c r="C129">
        <v>39</v>
      </c>
      <c r="D129" t="s">
        <v>10</v>
      </c>
      <c r="E129" t="s">
        <v>445</v>
      </c>
      <c r="F129" t="s">
        <v>175</v>
      </c>
      <c r="G129" t="s">
        <v>13</v>
      </c>
      <c r="H129" t="s">
        <v>14</v>
      </c>
    </row>
    <row r="130" spans="1:8" x14ac:dyDescent="0.3">
      <c r="A130" t="s">
        <v>446</v>
      </c>
      <c r="B130" t="s">
        <v>447</v>
      </c>
      <c r="C130">
        <v>45</v>
      </c>
      <c r="D130" t="s">
        <v>10</v>
      </c>
      <c r="E130" t="s">
        <v>448</v>
      </c>
      <c r="F130" t="s">
        <v>295</v>
      </c>
      <c r="G130" t="s">
        <v>13</v>
      </c>
      <c r="H130" t="s">
        <v>33</v>
      </c>
    </row>
    <row r="131" spans="1:8" x14ac:dyDescent="0.3">
      <c r="A131" t="s">
        <v>449</v>
      </c>
      <c r="B131" t="s">
        <v>450</v>
      </c>
      <c r="C131">
        <v>43</v>
      </c>
      <c r="D131" t="s">
        <v>17</v>
      </c>
      <c r="E131" t="s">
        <v>451</v>
      </c>
      <c r="F131" t="s">
        <v>41</v>
      </c>
      <c r="G131" t="s">
        <v>13</v>
      </c>
      <c r="H131" t="s">
        <v>33</v>
      </c>
    </row>
    <row r="132" spans="1:8" x14ac:dyDescent="0.3">
      <c r="A132" t="s">
        <v>452</v>
      </c>
      <c r="B132" t="s">
        <v>453</v>
      </c>
      <c r="C132">
        <v>29</v>
      </c>
      <c r="D132" t="s">
        <v>10</v>
      </c>
      <c r="E132" t="s">
        <v>454</v>
      </c>
      <c r="F132" t="s">
        <v>171</v>
      </c>
      <c r="G132" t="s">
        <v>13</v>
      </c>
      <c r="H132" t="s">
        <v>14</v>
      </c>
    </row>
    <row r="133" spans="1:8" x14ac:dyDescent="0.3">
      <c r="A133" t="s">
        <v>455</v>
      </c>
      <c r="B133" t="s">
        <v>456</v>
      </c>
      <c r="C133">
        <v>34</v>
      </c>
      <c r="D133" t="s">
        <v>17</v>
      </c>
      <c r="E133" t="s">
        <v>457</v>
      </c>
      <c r="F133" t="s">
        <v>23</v>
      </c>
      <c r="G133" t="s">
        <v>13</v>
      </c>
      <c r="H133" t="s">
        <v>28</v>
      </c>
    </row>
    <row r="134" spans="1:8" x14ac:dyDescent="0.3">
      <c r="A134" t="s">
        <v>458</v>
      </c>
      <c r="B134" t="s">
        <v>459</v>
      </c>
      <c r="C134">
        <v>57</v>
      </c>
      <c r="D134" t="s">
        <v>17</v>
      </c>
      <c r="E134" t="s">
        <v>460</v>
      </c>
      <c r="F134" t="s">
        <v>27</v>
      </c>
      <c r="G134" t="s">
        <v>13</v>
      </c>
      <c r="H134" t="s">
        <v>50</v>
      </c>
    </row>
    <row r="135" spans="1:8" x14ac:dyDescent="0.3">
      <c r="A135" t="s">
        <v>461</v>
      </c>
      <c r="B135" t="s">
        <v>462</v>
      </c>
      <c r="C135">
        <v>62</v>
      </c>
      <c r="D135" t="s">
        <v>17</v>
      </c>
      <c r="E135" t="s">
        <v>463</v>
      </c>
      <c r="F135" t="s">
        <v>254</v>
      </c>
      <c r="G135" t="s">
        <v>13</v>
      </c>
      <c r="H135" t="s">
        <v>28</v>
      </c>
    </row>
    <row r="136" spans="1:8" x14ac:dyDescent="0.3">
      <c r="A136" t="s">
        <v>464</v>
      </c>
      <c r="B136" t="s">
        <v>465</v>
      </c>
      <c r="C136">
        <v>54</v>
      </c>
      <c r="D136" t="s">
        <v>10</v>
      </c>
      <c r="E136" t="s">
        <v>466</v>
      </c>
      <c r="F136" t="s">
        <v>77</v>
      </c>
      <c r="G136" t="s">
        <v>13</v>
      </c>
      <c r="H136" t="s">
        <v>50</v>
      </c>
    </row>
    <row r="137" spans="1:8" x14ac:dyDescent="0.3">
      <c r="A137" t="s">
        <v>467</v>
      </c>
      <c r="B137" t="s">
        <v>468</v>
      </c>
      <c r="C137">
        <v>33</v>
      </c>
      <c r="D137" t="s">
        <v>17</v>
      </c>
      <c r="E137" t="s">
        <v>469</v>
      </c>
      <c r="F137" t="s">
        <v>160</v>
      </c>
      <c r="G137" t="s">
        <v>13</v>
      </c>
      <c r="H137" t="s">
        <v>14</v>
      </c>
    </row>
    <row r="138" spans="1:8" x14ac:dyDescent="0.3">
      <c r="A138" t="s">
        <v>470</v>
      </c>
      <c r="B138" t="s">
        <v>471</v>
      </c>
      <c r="C138">
        <v>29</v>
      </c>
      <c r="D138" t="s">
        <v>10</v>
      </c>
      <c r="E138" t="s">
        <v>472</v>
      </c>
      <c r="F138" t="s">
        <v>73</v>
      </c>
      <c r="G138" t="s">
        <v>13</v>
      </c>
      <c r="H138" t="s">
        <v>33</v>
      </c>
    </row>
    <row r="139" spans="1:8" x14ac:dyDescent="0.3">
      <c r="A139" t="s">
        <v>473</v>
      </c>
      <c r="B139" t="s">
        <v>474</v>
      </c>
      <c r="C139">
        <v>55</v>
      </c>
      <c r="D139" t="s">
        <v>17</v>
      </c>
      <c r="E139" t="s">
        <v>475</v>
      </c>
      <c r="F139" t="s">
        <v>27</v>
      </c>
      <c r="G139" t="s">
        <v>13</v>
      </c>
      <c r="H139" t="s">
        <v>14</v>
      </c>
    </row>
    <row r="140" spans="1:8" x14ac:dyDescent="0.3">
      <c r="A140" t="s">
        <v>476</v>
      </c>
      <c r="B140" t="s">
        <v>477</v>
      </c>
      <c r="C140">
        <v>43</v>
      </c>
      <c r="D140" t="s">
        <v>10</v>
      </c>
      <c r="E140" t="s">
        <v>399</v>
      </c>
      <c r="F140" t="s">
        <v>291</v>
      </c>
      <c r="G140" t="s">
        <v>13</v>
      </c>
      <c r="H140" t="s">
        <v>50</v>
      </c>
    </row>
    <row r="141" spans="1:8" x14ac:dyDescent="0.3">
      <c r="A141" t="s">
        <v>478</v>
      </c>
      <c r="B141" t="s">
        <v>479</v>
      </c>
      <c r="C141">
        <v>32</v>
      </c>
      <c r="D141" t="s">
        <v>10</v>
      </c>
      <c r="E141" t="s">
        <v>480</v>
      </c>
      <c r="F141" t="s">
        <v>121</v>
      </c>
      <c r="G141" t="s">
        <v>13</v>
      </c>
      <c r="H141" t="s">
        <v>28</v>
      </c>
    </row>
    <row r="142" spans="1:8" x14ac:dyDescent="0.3">
      <c r="A142" t="s">
        <v>481</v>
      </c>
      <c r="B142" t="s">
        <v>482</v>
      </c>
      <c r="C142">
        <v>63</v>
      </c>
      <c r="D142" t="s">
        <v>17</v>
      </c>
      <c r="E142" t="s">
        <v>483</v>
      </c>
      <c r="F142" t="s">
        <v>54</v>
      </c>
      <c r="G142" t="s">
        <v>13</v>
      </c>
      <c r="H142" t="s">
        <v>50</v>
      </c>
    </row>
    <row r="143" spans="1:8" x14ac:dyDescent="0.3">
      <c r="A143" t="s">
        <v>484</v>
      </c>
      <c r="B143" t="s">
        <v>485</v>
      </c>
      <c r="C143">
        <v>30</v>
      </c>
      <c r="D143" t="s">
        <v>10</v>
      </c>
      <c r="E143" t="s">
        <v>486</v>
      </c>
      <c r="F143" t="s">
        <v>32</v>
      </c>
      <c r="G143" t="s">
        <v>13</v>
      </c>
      <c r="H143" t="s">
        <v>28</v>
      </c>
    </row>
    <row r="144" spans="1:8" x14ac:dyDescent="0.3">
      <c r="A144" t="s">
        <v>487</v>
      </c>
      <c r="B144" t="s">
        <v>488</v>
      </c>
      <c r="C144">
        <v>37</v>
      </c>
      <c r="D144" t="s">
        <v>10</v>
      </c>
      <c r="E144" t="s">
        <v>489</v>
      </c>
      <c r="F144" t="s">
        <v>69</v>
      </c>
      <c r="G144" t="s">
        <v>13</v>
      </c>
      <c r="H144" t="s">
        <v>28</v>
      </c>
    </row>
    <row r="145" spans="1:8" x14ac:dyDescent="0.3">
      <c r="A145" t="s">
        <v>490</v>
      </c>
      <c r="B145" t="s">
        <v>491</v>
      </c>
      <c r="C145">
        <v>46</v>
      </c>
      <c r="D145" t="s">
        <v>10</v>
      </c>
      <c r="E145" t="s">
        <v>492</v>
      </c>
      <c r="F145" t="s">
        <v>23</v>
      </c>
      <c r="G145" t="s">
        <v>13</v>
      </c>
      <c r="H145" t="s">
        <v>28</v>
      </c>
    </row>
    <row r="146" spans="1:8" x14ac:dyDescent="0.3">
      <c r="A146" t="s">
        <v>493</v>
      </c>
      <c r="B146" t="s">
        <v>494</v>
      </c>
      <c r="C146">
        <v>62</v>
      </c>
      <c r="D146" t="s">
        <v>17</v>
      </c>
      <c r="E146" t="s">
        <v>495</v>
      </c>
      <c r="F146" t="s">
        <v>188</v>
      </c>
      <c r="G146" t="s">
        <v>13</v>
      </c>
      <c r="H146" t="s">
        <v>28</v>
      </c>
    </row>
    <row r="147" spans="1:8" x14ac:dyDescent="0.3">
      <c r="A147" t="s">
        <v>496</v>
      </c>
      <c r="B147" t="s">
        <v>497</v>
      </c>
      <c r="C147">
        <v>46</v>
      </c>
      <c r="D147" t="s">
        <v>10</v>
      </c>
      <c r="E147" t="s">
        <v>498</v>
      </c>
      <c r="F147" t="s">
        <v>258</v>
      </c>
      <c r="G147" t="s">
        <v>13</v>
      </c>
      <c r="H147" t="s">
        <v>14</v>
      </c>
    </row>
    <row r="148" spans="1:8" x14ac:dyDescent="0.3">
      <c r="A148" t="s">
        <v>499</v>
      </c>
      <c r="B148" t="s">
        <v>500</v>
      </c>
      <c r="C148">
        <v>32</v>
      </c>
      <c r="D148" t="s">
        <v>17</v>
      </c>
      <c r="E148" t="s">
        <v>501</v>
      </c>
      <c r="F148" t="s">
        <v>321</v>
      </c>
      <c r="G148" t="s">
        <v>13</v>
      </c>
      <c r="H148" t="s">
        <v>50</v>
      </c>
    </row>
    <row r="149" spans="1:8" x14ac:dyDescent="0.3">
      <c r="A149" t="s">
        <v>502</v>
      </c>
      <c r="B149" t="s">
        <v>503</v>
      </c>
      <c r="C149">
        <v>49</v>
      </c>
      <c r="D149" t="s">
        <v>17</v>
      </c>
      <c r="E149" t="s">
        <v>504</v>
      </c>
      <c r="F149" t="s">
        <v>167</v>
      </c>
      <c r="G149" t="s">
        <v>13</v>
      </c>
      <c r="H149" t="s">
        <v>14</v>
      </c>
    </row>
    <row r="150" spans="1:8" x14ac:dyDescent="0.3">
      <c r="A150" t="s">
        <v>505</v>
      </c>
      <c r="B150" t="s">
        <v>506</v>
      </c>
      <c r="C150">
        <v>42</v>
      </c>
      <c r="D150" t="s">
        <v>17</v>
      </c>
      <c r="E150" t="s">
        <v>507</v>
      </c>
      <c r="F150" t="s">
        <v>328</v>
      </c>
      <c r="G150" t="s">
        <v>13</v>
      </c>
      <c r="H150" t="s">
        <v>28</v>
      </c>
    </row>
    <row r="151" spans="1:8" x14ac:dyDescent="0.3">
      <c r="A151" t="s">
        <v>508</v>
      </c>
      <c r="B151" t="s">
        <v>509</v>
      </c>
      <c r="C151">
        <v>33</v>
      </c>
      <c r="D151" t="s">
        <v>10</v>
      </c>
      <c r="E151" t="s">
        <v>510</v>
      </c>
      <c r="F151" t="s">
        <v>254</v>
      </c>
      <c r="G151" t="s">
        <v>13</v>
      </c>
      <c r="H151" t="s">
        <v>14</v>
      </c>
    </row>
    <row r="152" spans="1:8" x14ac:dyDescent="0.3">
      <c r="A152" t="s">
        <v>511</v>
      </c>
      <c r="B152" t="s">
        <v>512</v>
      </c>
      <c r="C152">
        <v>24</v>
      </c>
      <c r="D152" t="s">
        <v>10</v>
      </c>
      <c r="E152" t="s">
        <v>513</v>
      </c>
      <c r="F152" t="s">
        <v>317</v>
      </c>
      <c r="G152" t="s">
        <v>13</v>
      </c>
      <c r="H152" t="s">
        <v>50</v>
      </c>
    </row>
    <row r="153" spans="1:8" x14ac:dyDescent="0.3">
      <c r="A153" t="s">
        <v>514</v>
      </c>
      <c r="B153" t="s">
        <v>515</v>
      </c>
      <c r="C153">
        <v>25</v>
      </c>
      <c r="D153" t="s">
        <v>17</v>
      </c>
      <c r="E153" t="s">
        <v>516</v>
      </c>
      <c r="F153" t="s">
        <v>37</v>
      </c>
      <c r="G153" t="s">
        <v>13</v>
      </c>
      <c r="H153" t="s">
        <v>50</v>
      </c>
    </row>
    <row r="154" spans="1:8" x14ac:dyDescent="0.3">
      <c r="A154" t="s">
        <v>517</v>
      </c>
      <c r="B154" t="s">
        <v>518</v>
      </c>
      <c r="C154">
        <v>41</v>
      </c>
      <c r="D154" t="s">
        <v>17</v>
      </c>
      <c r="E154" t="s">
        <v>519</v>
      </c>
      <c r="F154" t="s">
        <v>117</v>
      </c>
      <c r="G154" t="s">
        <v>13</v>
      </c>
      <c r="H154" t="s">
        <v>14</v>
      </c>
    </row>
    <row r="155" spans="1:8" x14ac:dyDescent="0.3">
      <c r="A155" t="s">
        <v>520</v>
      </c>
      <c r="B155" t="s">
        <v>521</v>
      </c>
      <c r="C155">
        <v>31</v>
      </c>
      <c r="D155" t="s">
        <v>10</v>
      </c>
      <c r="E155" t="s">
        <v>522</v>
      </c>
      <c r="F155" t="s">
        <v>19</v>
      </c>
      <c r="G155" t="s">
        <v>13</v>
      </c>
      <c r="H155" t="s">
        <v>28</v>
      </c>
    </row>
    <row r="156" spans="1:8" x14ac:dyDescent="0.3">
      <c r="A156" t="s">
        <v>523</v>
      </c>
      <c r="B156" t="s">
        <v>524</v>
      </c>
      <c r="C156">
        <v>35</v>
      </c>
      <c r="D156" t="s">
        <v>17</v>
      </c>
      <c r="E156" t="s">
        <v>525</v>
      </c>
      <c r="F156" t="s">
        <v>175</v>
      </c>
      <c r="G156" t="s">
        <v>13</v>
      </c>
      <c r="H156" t="s">
        <v>50</v>
      </c>
    </row>
    <row r="157" spans="1:8" x14ac:dyDescent="0.3">
      <c r="A157" t="s">
        <v>526</v>
      </c>
      <c r="B157" t="s">
        <v>527</v>
      </c>
      <c r="C157">
        <v>60</v>
      </c>
      <c r="D157" t="s">
        <v>17</v>
      </c>
      <c r="E157" t="s">
        <v>528</v>
      </c>
      <c r="F157" t="s">
        <v>271</v>
      </c>
      <c r="G157" t="s">
        <v>13</v>
      </c>
      <c r="H157" t="s">
        <v>50</v>
      </c>
    </row>
    <row r="158" spans="1:8" x14ac:dyDescent="0.3">
      <c r="A158" t="s">
        <v>529</v>
      </c>
      <c r="B158" t="s">
        <v>530</v>
      </c>
      <c r="C158">
        <v>46</v>
      </c>
      <c r="D158" t="s">
        <v>10</v>
      </c>
      <c r="E158" t="s">
        <v>531</v>
      </c>
      <c r="F158" t="s">
        <v>19</v>
      </c>
      <c r="G158" t="s">
        <v>13</v>
      </c>
      <c r="H158" t="s">
        <v>28</v>
      </c>
    </row>
    <row r="159" spans="1:8" x14ac:dyDescent="0.3">
      <c r="A159" t="s">
        <v>532</v>
      </c>
      <c r="B159" t="s">
        <v>533</v>
      </c>
      <c r="C159">
        <v>59</v>
      </c>
      <c r="D159" t="s">
        <v>10</v>
      </c>
      <c r="E159" t="s">
        <v>534</v>
      </c>
      <c r="F159" t="s">
        <v>19</v>
      </c>
      <c r="G159" t="s">
        <v>13</v>
      </c>
      <c r="H159" t="s">
        <v>14</v>
      </c>
    </row>
    <row r="160" spans="1:8" x14ac:dyDescent="0.3">
      <c r="A160" t="s">
        <v>535</v>
      </c>
      <c r="B160" t="s">
        <v>536</v>
      </c>
      <c r="C160">
        <v>43</v>
      </c>
      <c r="D160" t="s">
        <v>10</v>
      </c>
      <c r="E160" t="s">
        <v>537</v>
      </c>
      <c r="F160" t="s">
        <v>175</v>
      </c>
      <c r="G160" t="s">
        <v>13</v>
      </c>
      <c r="H160" t="s">
        <v>28</v>
      </c>
    </row>
    <row r="161" spans="1:8" x14ac:dyDescent="0.3">
      <c r="A161" t="s">
        <v>538</v>
      </c>
      <c r="B161" t="s">
        <v>539</v>
      </c>
      <c r="C161">
        <v>46</v>
      </c>
      <c r="D161" t="s">
        <v>17</v>
      </c>
      <c r="E161" t="s">
        <v>540</v>
      </c>
      <c r="F161" t="s">
        <v>91</v>
      </c>
      <c r="G161" t="s">
        <v>13</v>
      </c>
      <c r="H161" t="s">
        <v>50</v>
      </c>
    </row>
    <row r="162" spans="1:8" x14ac:dyDescent="0.3">
      <c r="A162" t="s">
        <v>541</v>
      </c>
      <c r="B162" t="s">
        <v>542</v>
      </c>
      <c r="C162">
        <v>41</v>
      </c>
      <c r="D162" t="s">
        <v>17</v>
      </c>
      <c r="E162" t="s">
        <v>543</v>
      </c>
      <c r="F162" t="s">
        <v>12</v>
      </c>
      <c r="G162" t="s">
        <v>13</v>
      </c>
      <c r="H162" t="s">
        <v>14</v>
      </c>
    </row>
    <row r="163" spans="1:8" x14ac:dyDescent="0.3">
      <c r="A163" t="s">
        <v>544</v>
      </c>
      <c r="B163" t="s">
        <v>545</v>
      </c>
      <c r="C163">
        <v>18</v>
      </c>
      <c r="D163" t="s">
        <v>17</v>
      </c>
      <c r="E163" t="s">
        <v>546</v>
      </c>
      <c r="F163" t="s">
        <v>137</v>
      </c>
      <c r="G163" t="s">
        <v>13</v>
      </c>
      <c r="H163" t="s">
        <v>33</v>
      </c>
    </row>
    <row r="164" spans="1:8" x14ac:dyDescent="0.3">
      <c r="A164" t="s">
        <v>547</v>
      </c>
      <c r="B164" t="s">
        <v>548</v>
      </c>
      <c r="C164">
        <v>37</v>
      </c>
      <c r="D164" t="s">
        <v>10</v>
      </c>
      <c r="E164" t="s">
        <v>549</v>
      </c>
      <c r="F164" t="s">
        <v>241</v>
      </c>
      <c r="G164" t="s">
        <v>13</v>
      </c>
      <c r="H164" t="s">
        <v>33</v>
      </c>
    </row>
    <row r="165" spans="1:8" x14ac:dyDescent="0.3">
      <c r="A165" t="s">
        <v>550</v>
      </c>
      <c r="B165" t="s">
        <v>551</v>
      </c>
      <c r="C165">
        <v>21</v>
      </c>
      <c r="D165" t="s">
        <v>10</v>
      </c>
      <c r="E165" t="s">
        <v>552</v>
      </c>
      <c r="F165" t="s">
        <v>198</v>
      </c>
      <c r="G165" t="s">
        <v>13</v>
      </c>
      <c r="H165" t="s">
        <v>28</v>
      </c>
    </row>
    <row r="166" spans="1:8" x14ac:dyDescent="0.3">
      <c r="A166" t="s">
        <v>553</v>
      </c>
      <c r="B166" t="s">
        <v>554</v>
      </c>
      <c r="C166">
        <v>39</v>
      </c>
      <c r="D166" t="s">
        <v>17</v>
      </c>
      <c r="E166" t="s">
        <v>555</v>
      </c>
      <c r="F166" t="s">
        <v>84</v>
      </c>
      <c r="G166" t="s">
        <v>13</v>
      </c>
      <c r="H166" t="s">
        <v>33</v>
      </c>
    </row>
    <row r="167" spans="1:8" x14ac:dyDescent="0.3">
      <c r="A167" t="s">
        <v>556</v>
      </c>
      <c r="B167" t="s">
        <v>557</v>
      </c>
      <c r="C167">
        <v>47</v>
      </c>
      <c r="D167" t="s">
        <v>17</v>
      </c>
      <c r="E167" t="s">
        <v>558</v>
      </c>
      <c r="F167" t="s">
        <v>198</v>
      </c>
      <c r="G167" t="s">
        <v>13</v>
      </c>
      <c r="H167" t="s">
        <v>14</v>
      </c>
    </row>
    <row r="168" spans="1:8" x14ac:dyDescent="0.3">
      <c r="A168" t="s">
        <v>559</v>
      </c>
      <c r="B168" t="s">
        <v>560</v>
      </c>
      <c r="C168">
        <v>25</v>
      </c>
      <c r="D168" t="s">
        <v>17</v>
      </c>
      <c r="E168" t="s">
        <v>561</v>
      </c>
      <c r="F168" t="s">
        <v>160</v>
      </c>
      <c r="G168" t="s">
        <v>13</v>
      </c>
      <c r="H168" t="s">
        <v>33</v>
      </c>
    </row>
    <row r="169" spans="1:8" x14ac:dyDescent="0.3">
      <c r="A169" t="s">
        <v>562</v>
      </c>
      <c r="B169" t="s">
        <v>563</v>
      </c>
      <c r="C169">
        <v>36</v>
      </c>
      <c r="D169" t="s">
        <v>17</v>
      </c>
      <c r="E169" t="s">
        <v>564</v>
      </c>
      <c r="F169" t="s">
        <v>241</v>
      </c>
      <c r="G169" t="s">
        <v>13</v>
      </c>
      <c r="H169" t="s">
        <v>50</v>
      </c>
    </row>
    <row r="170" spans="1:8" x14ac:dyDescent="0.3">
      <c r="A170" t="s">
        <v>565</v>
      </c>
      <c r="B170" t="s">
        <v>566</v>
      </c>
      <c r="C170">
        <v>36</v>
      </c>
      <c r="D170" t="s">
        <v>17</v>
      </c>
      <c r="E170" t="s">
        <v>567</v>
      </c>
      <c r="F170" t="s">
        <v>254</v>
      </c>
      <c r="G170" t="s">
        <v>13</v>
      </c>
      <c r="H170" t="s">
        <v>14</v>
      </c>
    </row>
    <row r="171" spans="1:8" x14ac:dyDescent="0.3">
      <c r="A171" t="s">
        <v>568</v>
      </c>
      <c r="B171" t="s">
        <v>569</v>
      </c>
      <c r="C171">
        <v>64</v>
      </c>
      <c r="D171" t="s">
        <v>10</v>
      </c>
      <c r="E171" t="s">
        <v>570</v>
      </c>
      <c r="F171" t="s">
        <v>49</v>
      </c>
      <c r="G171" t="s">
        <v>13</v>
      </c>
      <c r="H171" t="s">
        <v>28</v>
      </c>
    </row>
    <row r="172" spans="1:8" x14ac:dyDescent="0.3">
      <c r="A172" t="s">
        <v>571</v>
      </c>
      <c r="B172" t="s">
        <v>572</v>
      </c>
      <c r="C172">
        <v>18</v>
      </c>
      <c r="D172" t="s">
        <v>10</v>
      </c>
      <c r="E172" t="s">
        <v>573</v>
      </c>
      <c r="F172" t="s">
        <v>117</v>
      </c>
      <c r="G172" t="s">
        <v>13</v>
      </c>
      <c r="H172" t="s">
        <v>50</v>
      </c>
    </row>
    <row r="173" spans="1:8" x14ac:dyDescent="0.3">
      <c r="A173" t="s">
        <v>574</v>
      </c>
      <c r="B173" t="s">
        <v>575</v>
      </c>
      <c r="C173">
        <v>44</v>
      </c>
      <c r="D173" t="s">
        <v>17</v>
      </c>
      <c r="E173" t="s">
        <v>576</v>
      </c>
      <c r="F173" t="s">
        <v>258</v>
      </c>
      <c r="G173" t="s">
        <v>13</v>
      </c>
      <c r="H173" t="s">
        <v>14</v>
      </c>
    </row>
    <row r="174" spans="1:8" x14ac:dyDescent="0.3">
      <c r="A174" t="s">
        <v>577</v>
      </c>
      <c r="B174" t="s">
        <v>578</v>
      </c>
      <c r="C174">
        <v>41</v>
      </c>
      <c r="D174" t="s">
        <v>17</v>
      </c>
      <c r="E174" t="s">
        <v>579</v>
      </c>
      <c r="F174" t="s">
        <v>45</v>
      </c>
      <c r="G174" t="s">
        <v>13</v>
      </c>
      <c r="H174" t="s">
        <v>28</v>
      </c>
    </row>
    <row r="175" spans="1:8" x14ac:dyDescent="0.3">
      <c r="A175" t="s">
        <v>580</v>
      </c>
      <c r="B175" t="s">
        <v>581</v>
      </c>
      <c r="C175">
        <v>41</v>
      </c>
      <c r="D175" t="s">
        <v>17</v>
      </c>
      <c r="E175" t="s">
        <v>402</v>
      </c>
      <c r="F175" t="s">
        <v>271</v>
      </c>
      <c r="G175" t="s">
        <v>13</v>
      </c>
      <c r="H175" t="s">
        <v>14</v>
      </c>
    </row>
    <row r="176" spans="1:8" x14ac:dyDescent="0.3">
      <c r="A176" t="s">
        <v>582</v>
      </c>
      <c r="B176" t="s">
        <v>583</v>
      </c>
      <c r="C176">
        <v>26</v>
      </c>
      <c r="D176" t="s">
        <v>17</v>
      </c>
      <c r="E176" t="s">
        <v>584</v>
      </c>
      <c r="F176" t="s">
        <v>175</v>
      </c>
      <c r="G176" t="s">
        <v>13</v>
      </c>
      <c r="H176" t="s">
        <v>50</v>
      </c>
    </row>
    <row r="177" spans="1:8" x14ac:dyDescent="0.3">
      <c r="A177" t="s">
        <v>585</v>
      </c>
      <c r="B177" t="s">
        <v>586</v>
      </c>
      <c r="C177">
        <v>56</v>
      </c>
      <c r="D177" t="s">
        <v>10</v>
      </c>
      <c r="E177" t="s">
        <v>587</v>
      </c>
      <c r="F177" t="s">
        <v>103</v>
      </c>
      <c r="G177" t="s">
        <v>13</v>
      </c>
      <c r="H177" t="s">
        <v>14</v>
      </c>
    </row>
    <row r="178" spans="1:8" x14ac:dyDescent="0.3">
      <c r="A178" t="s">
        <v>588</v>
      </c>
      <c r="B178" t="s">
        <v>589</v>
      </c>
      <c r="C178">
        <v>48</v>
      </c>
      <c r="D178" t="s">
        <v>10</v>
      </c>
      <c r="E178" t="s">
        <v>590</v>
      </c>
      <c r="F178" t="s">
        <v>175</v>
      </c>
      <c r="G178" t="s">
        <v>13</v>
      </c>
      <c r="H178" t="s">
        <v>33</v>
      </c>
    </row>
    <row r="179" spans="1:8" x14ac:dyDescent="0.3">
      <c r="A179" t="s">
        <v>591</v>
      </c>
      <c r="B179" t="s">
        <v>592</v>
      </c>
      <c r="C179">
        <v>55</v>
      </c>
      <c r="D179" t="s">
        <v>10</v>
      </c>
      <c r="E179" t="s">
        <v>593</v>
      </c>
      <c r="F179" t="s">
        <v>594</v>
      </c>
      <c r="G179" t="s">
        <v>13</v>
      </c>
      <c r="H179" t="s">
        <v>14</v>
      </c>
    </row>
    <row r="180" spans="1:8" x14ac:dyDescent="0.3">
      <c r="A180" t="s">
        <v>595</v>
      </c>
      <c r="B180" t="s">
        <v>596</v>
      </c>
      <c r="C180">
        <v>33</v>
      </c>
      <c r="D180" t="s">
        <v>17</v>
      </c>
      <c r="E180" t="s">
        <v>597</v>
      </c>
      <c r="F180" t="s">
        <v>321</v>
      </c>
      <c r="G180" t="s">
        <v>13</v>
      </c>
      <c r="H180" t="s">
        <v>28</v>
      </c>
    </row>
    <row r="181" spans="1:8" x14ac:dyDescent="0.3">
      <c r="A181" t="s">
        <v>598</v>
      </c>
      <c r="B181" t="s">
        <v>599</v>
      </c>
      <c r="C181">
        <v>43</v>
      </c>
      <c r="D181" t="s">
        <v>17</v>
      </c>
      <c r="E181" t="s">
        <v>600</v>
      </c>
      <c r="F181" t="s">
        <v>121</v>
      </c>
      <c r="G181" t="s">
        <v>13</v>
      </c>
      <c r="H181" t="s">
        <v>33</v>
      </c>
    </row>
    <row r="182" spans="1:8" x14ac:dyDescent="0.3">
      <c r="A182" t="s">
        <v>601</v>
      </c>
      <c r="B182" t="s">
        <v>602</v>
      </c>
      <c r="C182">
        <v>38</v>
      </c>
      <c r="D182" t="s">
        <v>10</v>
      </c>
      <c r="E182" t="s">
        <v>603</v>
      </c>
      <c r="F182" t="s">
        <v>439</v>
      </c>
      <c r="G182" t="s">
        <v>13</v>
      </c>
      <c r="H182" t="s">
        <v>28</v>
      </c>
    </row>
    <row r="183" spans="1:8" x14ac:dyDescent="0.3">
      <c r="A183" t="s">
        <v>604</v>
      </c>
      <c r="B183" t="s">
        <v>605</v>
      </c>
      <c r="C183">
        <v>60</v>
      </c>
      <c r="D183" t="s">
        <v>10</v>
      </c>
      <c r="E183" t="s">
        <v>606</v>
      </c>
      <c r="F183" t="s">
        <v>61</v>
      </c>
      <c r="G183" t="s">
        <v>13</v>
      </c>
      <c r="H183" t="s">
        <v>28</v>
      </c>
    </row>
    <row r="184" spans="1:8" x14ac:dyDescent="0.3">
      <c r="A184" t="s">
        <v>607</v>
      </c>
      <c r="B184" t="s">
        <v>608</v>
      </c>
      <c r="C184">
        <v>23</v>
      </c>
      <c r="D184" t="s">
        <v>17</v>
      </c>
      <c r="E184" t="s">
        <v>609</v>
      </c>
      <c r="F184" t="s">
        <v>99</v>
      </c>
      <c r="G184" t="s">
        <v>13</v>
      </c>
      <c r="H184" t="s">
        <v>33</v>
      </c>
    </row>
    <row r="185" spans="1:8" x14ac:dyDescent="0.3">
      <c r="A185" t="s">
        <v>610</v>
      </c>
      <c r="B185" t="s">
        <v>611</v>
      </c>
      <c r="C185">
        <v>18</v>
      </c>
      <c r="D185" t="s">
        <v>10</v>
      </c>
      <c r="E185" t="s">
        <v>612</v>
      </c>
      <c r="F185" t="s">
        <v>61</v>
      </c>
      <c r="G185" t="s">
        <v>13</v>
      </c>
      <c r="H185" t="s">
        <v>14</v>
      </c>
    </row>
    <row r="186" spans="1:8" x14ac:dyDescent="0.3">
      <c r="A186" t="s">
        <v>613</v>
      </c>
      <c r="B186" t="s">
        <v>614</v>
      </c>
      <c r="C186">
        <v>46</v>
      </c>
      <c r="D186" t="s">
        <v>17</v>
      </c>
      <c r="E186" t="s">
        <v>615</v>
      </c>
      <c r="F186" t="s">
        <v>19</v>
      </c>
      <c r="G186" t="s">
        <v>13</v>
      </c>
      <c r="H186" t="s">
        <v>33</v>
      </c>
    </row>
    <row r="187" spans="1:8" x14ac:dyDescent="0.3">
      <c r="A187" t="s">
        <v>616</v>
      </c>
      <c r="B187" t="s">
        <v>617</v>
      </c>
      <c r="C187">
        <v>54</v>
      </c>
      <c r="D187" t="s">
        <v>17</v>
      </c>
      <c r="E187" t="s">
        <v>618</v>
      </c>
      <c r="F187" t="s">
        <v>91</v>
      </c>
      <c r="G187" t="s">
        <v>13</v>
      </c>
      <c r="H187" t="s">
        <v>14</v>
      </c>
    </row>
    <row r="188" spans="1:8" x14ac:dyDescent="0.3">
      <c r="A188" t="s">
        <v>619</v>
      </c>
      <c r="B188" t="s">
        <v>620</v>
      </c>
      <c r="C188">
        <v>53</v>
      </c>
      <c r="D188" t="s">
        <v>10</v>
      </c>
      <c r="E188" t="s">
        <v>621</v>
      </c>
      <c r="F188" t="s">
        <v>117</v>
      </c>
      <c r="G188" t="s">
        <v>13</v>
      </c>
      <c r="H188" t="s">
        <v>33</v>
      </c>
    </row>
    <row r="189" spans="1:8" x14ac:dyDescent="0.3">
      <c r="A189" t="s">
        <v>622</v>
      </c>
      <c r="B189" t="s">
        <v>623</v>
      </c>
      <c r="C189">
        <v>60</v>
      </c>
      <c r="D189" t="s">
        <v>17</v>
      </c>
      <c r="E189" t="s">
        <v>624</v>
      </c>
      <c r="F189" t="s">
        <v>23</v>
      </c>
      <c r="G189" t="s">
        <v>13</v>
      </c>
      <c r="H189" t="s">
        <v>14</v>
      </c>
    </row>
    <row r="190" spans="1:8" x14ac:dyDescent="0.3">
      <c r="A190" t="s">
        <v>625</v>
      </c>
      <c r="B190" t="s">
        <v>626</v>
      </c>
      <c r="C190">
        <v>42</v>
      </c>
      <c r="D190" t="s">
        <v>10</v>
      </c>
      <c r="E190" t="s">
        <v>627</v>
      </c>
      <c r="F190" t="s">
        <v>237</v>
      </c>
      <c r="G190" t="s">
        <v>13</v>
      </c>
      <c r="H190" t="s">
        <v>33</v>
      </c>
    </row>
    <row r="191" spans="1:8" x14ac:dyDescent="0.3">
      <c r="A191" t="s">
        <v>628</v>
      </c>
      <c r="B191" t="s">
        <v>629</v>
      </c>
      <c r="C191">
        <v>29</v>
      </c>
      <c r="D191" t="s">
        <v>10</v>
      </c>
      <c r="E191" t="s">
        <v>630</v>
      </c>
      <c r="F191" t="s">
        <v>594</v>
      </c>
      <c r="G191" t="s">
        <v>13</v>
      </c>
      <c r="H191" t="s">
        <v>50</v>
      </c>
    </row>
    <row r="192" spans="1:8" x14ac:dyDescent="0.3">
      <c r="A192" t="s">
        <v>631</v>
      </c>
      <c r="B192" t="s">
        <v>632</v>
      </c>
      <c r="C192">
        <v>21</v>
      </c>
      <c r="D192" t="s">
        <v>10</v>
      </c>
      <c r="E192" t="s">
        <v>633</v>
      </c>
      <c r="F192" t="s">
        <v>61</v>
      </c>
      <c r="G192" t="s">
        <v>13</v>
      </c>
      <c r="H192" t="s">
        <v>28</v>
      </c>
    </row>
    <row r="193" spans="1:8" x14ac:dyDescent="0.3">
      <c r="A193" t="s">
        <v>634</v>
      </c>
      <c r="B193" t="s">
        <v>635</v>
      </c>
      <c r="C193">
        <v>29</v>
      </c>
      <c r="D193" t="s">
        <v>17</v>
      </c>
      <c r="E193" t="s">
        <v>636</v>
      </c>
      <c r="F193" t="s">
        <v>27</v>
      </c>
      <c r="G193" t="s">
        <v>13</v>
      </c>
      <c r="H193" t="s">
        <v>28</v>
      </c>
    </row>
    <row r="194" spans="1:8" x14ac:dyDescent="0.3">
      <c r="A194" t="s">
        <v>637</v>
      </c>
      <c r="B194" t="s">
        <v>638</v>
      </c>
      <c r="C194">
        <v>26</v>
      </c>
      <c r="D194" t="s">
        <v>10</v>
      </c>
      <c r="E194" t="s">
        <v>639</v>
      </c>
      <c r="F194" t="s">
        <v>110</v>
      </c>
      <c r="G194" t="s">
        <v>13</v>
      </c>
      <c r="H194" t="s">
        <v>50</v>
      </c>
    </row>
    <row r="195" spans="1:8" x14ac:dyDescent="0.3">
      <c r="A195" t="s">
        <v>640</v>
      </c>
      <c r="B195" t="s">
        <v>641</v>
      </c>
      <c r="C195">
        <v>38</v>
      </c>
      <c r="D195" t="s">
        <v>10</v>
      </c>
      <c r="E195" t="s">
        <v>642</v>
      </c>
      <c r="F195" t="s">
        <v>84</v>
      </c>
      <c r="G195" t="s">
        <v>13</v>
      </c>
      <c r="H195" t="s">
        <v>50</v>
      </c>
    </row>
    <row r="196" spans="1:8" x14ac:dyDescent="0.3">
      <c r="A196" t="s">
        <v>643</v>
      </c>
      <c r="B196" t="s">
        <v>644</v>
      </c>
      <c r="C196">
        <v>46</v>
      </c>
      <c r="D196" t="s">
        <v>10</v>
      </c>
      <c r="E196" t="s">
        <v>645</v>
      </c>
      <c r="F196" t="s">
        <v>54</v>
      </c>
      <c r="G196" t="s">
        <v>13</v>
      </c>
      <c r="H196" t="s">
        <v>50</v>
      </c>
    </row>
    <row r="197" spans="1:8" x14ac:dyDescent="0.3">
      <c r="A197" t="s">
        <v>646</v>
      </c>
      <c r="B197" t="s">
        <v>647</v>
      </c>
      <c r="C197">
        <v>60</v>
      </c>
      <c r="D197" t="s">
        <v>10</v>
      </c>
      <c r="E197" t="s">
        <v>648</v>
      </c>
      <c r="F197" t="s">
        <v>137</v>
      </c>
      <c r="G197" t="s">
        <v>13</v>
      </c>
      <c r="H197" t="s">
        <v>33</v>
      </c>
    </row>
    <row r="198" spans="1:8" x14ac:dyDescent="0.3">
      <c r="A198" t="s">
        <v>649</v>
      </c>
      <c r="B198" t="s">
        <v>650</v>
      </c>
      <c r="C198">
        <v>18</v>
      </c>
      <c r="D198" t="s">
        <v>17</v>
      </c>
      <c r="E198" t="s">
        <v>651</v>
      </c>
      <c r="F198" t="s">
        <v>167</v>
      </c>
      <c r="G198" t="s">
        <v>13</v>
      </c>
      <c r="H198" t="s">
        <v>14</v>
      </c>
    </row>
    <row r="199" spans="1:8" x14ac:dyDescent="0.3">
      <c r="A199" t="s">
        <v>652</v>
      </c>
      <c r="B199" t="s">
        <v>653</v>
      </c>
      <c r="C199">
        <v>45</v>
      </c>
      <c r="D199" t="s">
        <v>17</v>
      </c>
      <c r="E199" t="s">
        <v>211</v>
      </c>
      <c r="F199" t="s">
        <v>205</v>
      </c>
      <c r="G199" t="s">
        <v>13</v>
      </c>
      <c r="H199" t="s">
        <v>14</v>
      </c>
    </row>
    <row r="200" spans="1:8" x14ac:dyDescent="0.3">
      <c r="A200" t="s">
        <v>654</v>
      </c>
      <c r="B200" t="s">
        <v>655</v>
      </c>
      <c r="C200">
        <v>54</v>
      </c>
      <c r="D200" t="s">
        <v>10</v>
      </c>
      <c r="E200" t="s">
        <v>656</v>
      </c>
      <c r="F200" t="s">
        <v>175</v>
      </c>
      <c r="G200" t="s">
        <v>13</v>
      </c>
      <c r="H200" t="s">
        <v>28</v>
      </c>
    </row>
    <row r="201" spans="1:8" x14ac:dyDescent="0.3">
      <c r="A201" t="s">
        <v>657</v>
      </c>
      <c r="B201" t="s">
        <v>658</v>
      </c>
      <c r="C201">
        <v>46</v>
      </c>
      <c r="D201" t="s">
        <v>10</v>
      </c>
      <c r="E201" t="s">
        <v>659</v>
      </c>
      <c r="F201" t="s">
        <v>241</v>
      </c>
      <c r="G201" t="s">
        <v>13</v>
      </c>
      <c r="H201" t="s">
        <v>28</v>
      </c>
    </row>
    <row r="202" spans="1:8" x14ac:dyDescent="0.3">
      <c r="A202" t="s">
        <v>660</v>
      </c>
      <c r="B202" t="s">
        <v>661</v>
      </c>
      <c r="C202">
        <v>30</v>
      </c>
      <c r="D202" t="s">
        <v>10</v>
      </c>
      <c r="E202" t="s">
        <v>662</v>
      </c>
      <c r="F202" t="s">
        <v>439</v>
      </c>
      <c r="G202" t="s">
        <v>13</v>
      </c>
      <c r="H202" t="s">
        <v>14</v>
      </c>
    </row>
    <row r="203" spans="1:8" x14ac:dyDescent="0.3">
      <c r="A203" t="s">
        <v>663</v>
      </c>
      <c r="B203" t="s">
        <v>664</v>
      </c>
      <c r="C203">
        <v>25</v>
      </c>
      <c r="D203" t="s">
        <v>17</v>
      </c>
      <c r="E203" t="s">
        <v>665</v>
      </c>
      <c r="F203" t="s">
        <v>160</v>
      </c>
      <c r="G203" t="s">
        <v>13</v>
      </c>
      <c r="H203" t="s">
        <v>28</v>
      </c>
    </row>
    <row r="204" spans="1:8" x14ac:dyDescent="0.3">
      <c r="A204" t="s">
        <v>666</v>
      </c>
      <c r="B204" t="s">
        <v>667</v>
      </c>
      <c r="C204">
        <v>37</v>
      </c>
      <c r="D204" t="s">
        <v>17</v>
      </c>
      <c r="E204" t="s">
        <v>668</v>
      </c>
      <c r="F204" t="s">
        <v>65</v>
      </c>
      <c r="G204" t="s">
        <v>13</v>
      </c>
      <c r="H204" t="s">
        <v>14</v>
      </c>
    </row>
    <row r="205" spans="1:8" x14ac:dyDescent="0.3">
      <c r="A205" t="s">
        <v>669</v>
      </c>
      <c r="B205" t="s">
        <v>670</v>
      </c>
      <c r="C205">
        <v>47</v>
      </c>
      <c r="D205" t="s">
        <v>10</v>
      </c>
      <c r="E205" t="s">
        <v>671</v>
      </c>
      <c r="F205" t="s">
        <v>271</v>
      </c>
      <c r="G205" t="s">
        <v>13</v>
      </c>
      <c r="H205" t="s">
        <v>14</v>
      </c>
    </row>
    <row r="206" spans="1:8" x14ac:dyDescent="0.3">
      <c r="A206" t="s">
        <v>672</v>
      </c>
      <c r="B206" t="s">
        <v>673</v>
      </c>
      <c r="C206">
        <v>52</v>
      </c>
      <c r="D206" t="s">
        <v>10</v>
      </c>
      <c r="E206" t="s">
        <v>674</v>
      </c>
      <c r="F206" t="s">
        <v>291</v>
      </c>
      <c r="G206" t="s">
        <v>13</v>
      </c>
      <c r="H206" t="s">
        <v>14</v>
      </c>
    </row>
    <row r="207" spans="1:8" x14ac:dyDescent="0.3">
      <c r="A207" t="s">
        <v>675</v>
      </c>
      <c r="B207" t="s">
        <v>676</v>
      </c>
      <c r="C207">
        <v>44</v>
      </c>
      <c r="D207" t="s">
        <v>17</v>
      </c>
      <c r="E207" t="s">
        <v>677</v>
      </c>
      <c r="F207" t="s">
        <v>91</v>
      </c>
      <c r="G207" t="s">
        <v>13</v>
      </c>
      <c r="H207" t="s">
        <v>50</v>
      </c>
    </row>
    <row r="208" spans="1:8" x14ac:dyDescent="0.3">
      <c r="A208" t="s">
        <v>678</v>
      </c>
      <c r="B208" t="s">
        <v>679</v>
      </c>
      <c r="C208">
        <v>26</v>
      </c>
      <c r="D208" t="s">
        <v>17</v>
      </c>
      <c r="E208" t="s">
        <v>680</v>
      </c>
      <c r="F208" t="s">
        <v>241</v>
      </c>
      <c r="G208" t="s">
        <v>13</v>
      </c>
      <c r="H208" t="s">
        <v>33</v>
      </c>
    </row>
    <row r="209" spans="1:8" x14ac:dyDescent="0.3">
      <c r="A209" t="s">
        <v>681</v>
      </c>
      <c r="B209" t="s">
        <v>682</v>
      </c>
      <c r="C209">
        <v>28</v>
      </c>
      <c r="D209" t="s">
        <v>17</v>
      </c>
      <c r="E209" t="s">
        <v>683</v>
      </c>
      <c r="F209" t="s">
        <v>91</v>
      </c>
      <c r="G209" t="s">
        <v>13</v>
      </c>
      <c r="H209" t="s">
        <v>28</v>
      </c>
    </row>
    <row r="210" spans="1:8" x14ac:dyDescent="0.3">
      <c r="A210" t="s">
        <v>684</v>
      </c>
      <c r="B210" t="s">
        <v>685</v>
      </c>
      <c r="C210">
        <v>54</v>
      </c>
      <c r="D210" t="s">
        <v>10</v>
      </c>
      <c r="E210" t="s">
        <v>686</v>
      </c>
      <c r="F210" t="s">
        <v>332</v>
      </c>
      <c r="G210" t="s">
        <v>13</v>
      </c>
      <c r="H210" t="s">
        <v>14</v>
      </c>
    </row>
    <row r="211" spans="1:8" x14ac:dyDescent="0.3">
      <c r="A211" t="s">
        <v>687</v>
      </c>
      <c r="B211" t="s">
        <v>688</v>
      </c>
      <c r="C211">
        <v>50</v>
      </c>
      <c r="D211" t="s">
        <v>17</v>
      </c>
      <c r="E211" t="s">
        <v>689</v>
      </c>
      <c r="F211" t="s">
        <v>439</v>
      </c>
      <c r="G211" t="s">
        <v>13</v>
      </c>
      <c r="H211" t="s">
        <v>14</v>
      </c>
    </row>
    <row r="212" spans="1:8" x14ac:dyDescent="0.3">
      <c r="A212" t="s">
        <v>690</v>
      </c>
      <c r="B212" t="s">
        <v>691</v>
      </c>
      <c r="C212">
        <v>48</v>
      </c>
      <c r="D212" t="s">
        <v>10</v>
      </c>
      <c r="E212" t="s">
        <v>692</v>
      </c>
      <c r="F212" t="s">
        <v>84</v>
      </c>
      <c r="G212" t="s">
        <v>13</v>
      </c>
      <c r="H212" t="s">
        <v>33</v>
      </c>
    </row>
    <row r="213" spans="1:8" x14ac:dyDescent="0.3">
      <c r="A213" t="s">
        <v>693</v>
      </c>
      <c r="B213" t="s">
        <v>694</v>
      </c>
      <c r="C213">
        <v>20</v>
      </c>
      <c r="D213" t="s">
        <v>17</v>
      </c>
      <c r="E213" t="s">
        <v>695</v>
      </c>
      <c r="F213" t="s">
        <v>95</v>
      </c>
      <c r="G213" t="s">
        <v>13</v>
      </c>
      <c r="H213" t="s">
        <v>33</v>
      </c>
    </row>
    <row r="214" spans="1:8" x14ac:dyDescent="0.3">
      <c r="A214" t="s">
        <v>696</v>
      </c>
      <c r="B214" t="s">
        <v>697</v>
      </c>
      <c r="C214">
        <v>63</v>
      </c>
      <c r="D214" t="s">
        <v>17</v>
      </c>
      <c r="E214" t="s">
        <v>698</v>
      </c>
      <c r="F214" t="s">
        <v>77</v>
      </c>
      <c r="G214" t="s">
        <v>13</v>
      </c>
      <c r="H214" t="s">
        <v>14</v>
      </c>
    </row>
    <row r="215" spans="1:8" x14ac:dyDescent="0.3">
      <c r="A215" t="s">
        <v>699</v>
      </c>
      <c r="B215" t="s">
        <v>700</v>
      </c>
      <c r="C215">
        <v>42</v>
      </c>
      <c r="D215" t="s">
        <v>17</v>
      </c>
      <c r="E215" t="s">
        <v>701</v>
      </c>
      <c r="F215" t="s">
        <v>19</v>
      </c>
      <c r="G215" t="s">
        <v>13</v>
      </c>
      <c r="H215" t="s">
        <v>14</v>
      </c>
    </row>
    <row r="216" spans="1:8" x14ac:dyDescent="0.3">
      <c r="A216" t="s">
        <v>702</v>
      </c>
      <c r="B216" t="s">
        <v>703</v>
      </c>
      <c r="C216">
        <v>61</v>
      </c>
      <c r="D216" t="s">
        <v>10</v>
      </c>
      <c r="E216" t="s">
        <v>704</v>
      </c>
      <c r="F216" t="s">
        <v>69</v>
      </c>
      <c r="G216" t="s">
        <v>13</v>
      </c>
      <c r="H216" t="s">
        <v>50</v>
      </c>
    </row>
    <row r="217" spans="1:8" x14ac:dyDescent="0.3">
      <c r="A217" t="s">
        <v>705</v>
      </c>
      <c r="B217" t="s">
        <v>706</v>
      </c>
      <c r="C217">
        <v>50</v>
      </c>
      <c r="D217" t="s">
        <v>17</v>
      </c>
      <c r="E217" t="s">
        <v>707</v>
      </c>
      <c r="F217" t="s">
        <v>37</v>
      </c>
      <c r="G217" t="s">
        <v>13</v>
      </c>
      <c r="H217" t="s">
        <v>50</v>
      </c>
    </row>
    <row r="218" spans="1:8" x14ac:dyDescent="0.3">
      <c r="A218" t="s">
        <v>708</v>
      </c>
      <c r="B218" t="s">
        <v>709</v>
      </c>
      <c r="C218">
        <v>44</v>
      </c>
      <c r="D218" t="s">
        <v>10</v>
      </c>
      <c r="E218" t="s">
        <v>710</v>
      </c>
      <c r="F218" t="s">
        <v>32</v>
      </c>
      <c r="G218" t="s">
        <v>13</v>
      </c>
      <c r="H218" t="s">
        <v>14</v>
      </c>
    </row>
    <row r="219" spans="1:8" x14ac:dyDescent="0.3">
      <c r="A219" t="s">
        <v>711</v>
      </c>
      <c r="B219" t="s">
        <v>712</v>
      </c>
      <c r="C219">
        <v>42</v>
      </c>
      <c r="D219" t="s">
        <v>10</v>
      </c>
      <c r="E219" t="s">
        <v>713</v>
      </c>
      <c r="F219" t="s">
        <v>117</v>
      </c>
      <c r="G219" t="s">
        <v>13</v>
      </c>
      <c r="H219" t="s">
        <v>33</v>
      </c>
    </row>
    <row r="220" spans="1:8" x14ac:dyDescent="0.3">
      <c r="A220" t="s">
        <v>714</v>
      </c>
      <c r="B220" t="s">
        <v>715</v>
      </c>
      <c r="C220">
        <v>46</v>
      </c>
      <c r="D220" t="s">
        <v>10</v>
      </c>
      <c r="E220" t="s">
        <v>716</v>
      </c>
      <c r="F220" t="s">
        <v>32</v>
      </c>
      <c r="G220" t="s">
        <v>13</v>
      </c>
      <c r="H220" t="s">
        <v>14</v>
      </c>
    </row>
    <row r="221" spans="1:8" x14ac:dyDescent="0.3">
      <c r="A221" t="s">
        <v>717</v>
      </c>
      <c r="B221" t="s">
        <v>718</v>
      </c>
      <c r="C221">
        <v>47</v>
      </c>
      <c r="D221" t="s">
        <v>17</v>
      </c>
      <c r="E221" t="s">
        <v>719</v>
      </c>
      <c r="F221" t="s">
        <v>91</v>
      </c>
      <c r="G221" t="s">
        <v>13</v>
      </c>
      <c r="H221" t="s">
        <v>50</v>
      </c>
    </row>
    <row r="222" spans="1:8" x14ac:dyDescent="0.3">
      <c r="A222" t="s">
        <v>720</v>
      </c>
      <c r="B222" t="s">
        <v>721</v>
      </c>
      <c r="C222">
        <v>50</v>
      </c>
      <c r="D222" t="s">
        <v>17</v>
      </c>
      <c r="E222" t="s">
        <v>722</v>
      </c>
      <c r="F222" t="s">
        <v>723</v>
      </c>
      <c r="G222" t="s">
        <v>13</v>
      </c>
      <c r="H222" t="s">
        <v>28</v>
      </c>
    </row>
    <row r="223" spans="1:8" x14ac:dyDescent="0.3">
      <c r="A223" t="s">
        <v>724</v>
      </c>
      <c r="B223" t="s">
        <v>725</v>
      </c>
      <c r="C223">
        <v>38</v>
      </c>
      <c r="D223" t="s">
        <v>10</v>
      </c>
      <c r="E223" t="s">
        <v>726</v>
      </c>
      <c r="F223" t="s">
        <v>84</v>
      </c>
      <c r="G223" t="s">
        <v>13</v>
      </c>
      <c r="H223" t="s">
        <v>14</v>
      </c>
    </row>
    <row r="224" spans="1:8" x14ac:dyDescent="0.3">
      <c r="A224" t="s">
        <v>727</v>
      </c>
      <c r="B224" t="s">
        <v>728</v>
      </c>
      <c r="C224">
        <v>35</v>
      </c>
      <c r="D224" t="s">
        <v>10</v>
      </c>
      <c r="E224" t="s">
        <v>729</v>
      </c>
      <c r="F224" t="s">
        <v>237</v>
      </c>
      <c r="G224" t="s">
        <v>13</v>
      </c>
      <c r="H224" t="s">
        <v>14</v>
      </c>
    </row>
    <row r="225" spans="1:8" x14ac:dyDescent="0.3">
      <c r="A225" t="s">
        <v>730</v>
      </c>
      <c r="B225" t="s">
        <v>731</v>
      </c>
      <c r="C225">
        <v>50</v>
      </c>
      <c r="D225" t="s">
        <v>10</v>
      </c>
      <c r="E225" t="s">
        <v>732</v>
      </c>
      <c r="F225" t="s">
        <v>271</v>
      </c>
      <c r="G225" t="s">
        <v>13</v>
      </c>
      <c r="H225" t="s">
        <v>14</v>
      </c>
    </row>
    <row r="226" spans="1:8" x14ac:dyDescent="0.3">
      <c r="A226" t="s">
        <v>733</v>
      </c>
      <c r="B226" t="s">
        <v>734</v>
      </c>
      <c r="C226">
        <v>29</v>
      </c>
      <c r="D226" t="s">
        <v>10</v>
      </c>
      <c r="E226" t="s">
        <v>735</v>
      </c>
      <c r="F226" t="s">
        <v>117</v>
      </c>
      <c r="G226" t="s">
        <v>13</v>
      </c>
      <c r="H226" t="s">
        <v>33</v>
      </c>
    </row>
    <row r="227" spans="1:8" x14ac:dyDescent="0.3">
      <c r="A227" t="s">
        <v>736</v>
      </c>
      <c r="B227" t="s">
        <v>737</v>
      </c>
      <c r="C227">
        <v>46</v>
      </c>
      <c r="D227" t="s">
        <v>17</v>
      </c>
      <c r="E227" t="s">
        <v>738</v>
      </c>
      <c r="F227" t="s">
        <v>121</v>
      </c>
      <c r="G227" t="s">
        <v>13</v>
      </c>
      <c r="H227" t="s">
        <v>14</v>
      </c>
    </row>
    <row r="228" spans="1:8" x14ac:dyDescent="0.3">
      <c r="A228" t="s">
        <v>739</v>
      </c>
      <c r="B228" t="s">
        <v>740</v>
      </c>
      <c r="C228">
        <v>54</v>
      </c>
      <c r="D228" t="s">
        <v>10</v>
      </c>
      <c r="E228" t="s">
        <v>220</v>
      </c>
      <c r="F228" t="s">
        <v>167</v>
      </c>
      <c r="G228" t="s">
        <v>13</v>
      </c>
      <c r="H228" t="s">
        <v>50</v>
      </c>
    </row>
    <row r="229" spans="1:8" x14ac:dyDescent="0.3">
      <c r="A229" t="s">
        <v>741</v>
      </c>
      <c r="B229" t="s">
        <v>742</v>
      </c>
      <c r="C229">
        <v>63</v>
      </c>
      <c r="D229" t="s">
        <v>17</v>
      </c>
      <c r="E229" t="s">
        <v>743</v>
      </c>
      <c r="F229" t="s">
        <v>65</v>
      </c>
      <c r="G229" t="s">
        <v>13</v>
      </c>
      <c r="H229" t="s">
        <v>50</v>
      </c>
    </row>
    <row r="230" spans="1:8" x14ac:dyDescent="0.3">
      <c r="A230" t="s">
        <v>744</v>
      </c>
      <c r="B230" t="s">
        <v>745</v>
      </c>
      <c r="C230">
        <v>52</v>
      </c>
      <c r="D230" t="s">
        <v>17</v>
      </c>
      <c r="E230" t="s">
        <v>399</v>
      </c>
      <c r="F230" t="s">
        <v>121</v>
      </c>
      <c r="G230" t="s">
        <v>13</v>
      </c>
      <c r="H230" t="s">
        <v>50</v>
      </c>
    </row>
    <row r="231" spans="1:8" x14ac:dyDescent="0.3">
      <c r="A231" t="s">
        <v>746</v>
      </c>
      <c r="B231" t="s">
        <v>747</v>
      </c>
      <c r="C231">
        <v>32</v>
      </c>
      <c r="D231" t="s">
        <v>17</v>
      </c>
      <c r="E231" t="s">
        <v>748</v>
      </c>
      <c r="F231" t="s">
        <v>144</v>
      </c>
      <c r="G231" t="s">
        <v>13</v>
      </c>
      <c r="H231" t="s">
        <v>28</v>
      </c>
    </row>
    <row r="232" spans="1:8" x14ac:dyDescent="0.3">
      <c r="A232" t="s">
        <v>749</v>
      </c>
      <c r="B232" t="s">
        <v>750</v>
      </c>
      <c r="C232">
        <v>29</v>
      </c>
      <c r="D232" t="s">
        <v>10</v>
      </c>
      <c r="E232" t="s">
        <v>751</v>
      </c>
      <c r="F232" t="s">
        <v>254</v>
      </c>
      <c r="G232" t="s">
        <v>13</v>
      </c>
      <c r="H232" t="s">
        <v>28</v>
      </c>
    </row>
    <row r="233" spans="1:8" x14ac:dyDescent="0.3">
      <c r="A233" t="s">
        <v>752</v>
      </c>
      <c r="B233" t="s">
        <v>753</v>
      </c>
      <c r="C233">
        <v>22</v>
      </c>
      <c r="D233" t="s">
        <v>17</v>
      </c>
      <c r="E233" t="s">
        <v>754</v>
      </c>
      <c r="F233" t="s">
        <v>321</v>
      </c>
      <c r="G233" t="s">
        <v>13</v>
      </c>
      <c r="H233" t="s">
        <v>28</v>
      </c>
    </row>
    <row r="234" spans="1:8" x14ac:dyDescent="0.3">
      <c r="A234" t="s">
        <v>755</v>
      </c>
      <c r="B234" t="s">
        <v>756</v>
      </c>
      <c r="C234">
        <v>27</v>
      </c>
      <c r="D234" t="s">
        <v>17</v>
      </c>
      <c r="E234" t="s">
        <v>757</v>
      </c>
      <c r="F234" t="s">
        <v>91</v>
      </c>
      <c r="G234" t="s">
        <v>13</v>
      </c>
      <c r="H234" t="s">
        <v>14</v>
      </c>
    </row>
    <row r="235" spans="1:8" x14ac:dyDescent="0.3">
      <c r="A235" t="s">
        <v>758</v>
      </c>
      <c r="B235" t="s">
        <v>759</v>
      </c>
      <c r="C235">
        <v>59</v>
      </c>
      <c r="D235" t="s">
        <v>10</v>
      </c>
      <c r="E235" t="s">
        <v>760</v>
      </c>
      <c r="F235" t="s">
        <v>45</v>
      </c>
      <c r="G235" t="s">
        <v>13</v>
      </c>
      <c r="H235" t="s">
        <v>33</v>
      </c>
    </row>
    <row r="236" spans="1:8" x14ac:dyDescent="0.3">
      <c r="A236" t="s">
        <v>761</v>
      </c>
      <c r="B236" t="s">
        <v>762</v>
      </c>
      <c r="C236">
        <v>43</v>
      </c>
      <c r="D236" t="s">
        <v>17</v>
      </c>
      <c r="E236" t="s">
        <v>763</v>
      </c>
      <c r="F236" t="s">
        <v>65</v>
      </c>
      <c r="G236" t="s">
        <v>13</v>
      </c>
      <c r="H236" t="s">
        <v>50</v>
      </c>
    </row>
    <row r="237" spans="1:8" x14ac:dyDescent="0.3">
      <c r="A237" t="s">
        <v>764</v>
      </c>
      <c r="B237" t="s">
        <v>765</v>
      </c>
      <c r="C237">
        <v>28</v>
      </c>
      <c r="D237" t="s">
        <v>17</v>
      </c>
      <c r="E237" t="s">
        <v>766</v>
      </c>
      <c r="F237" t="s">
        <v>95</v>
      </c>
      <c r="G237" t="s">
        <v>13</v>
      </c>
      <c r="H237" t="s">
        <v>28</v>
      </c>
    </row>
    <row r="238" spans="1:8" x14ac:dyDescent="0.3">
      <c r="A238" t="s">
        <v>767</v>
      </c>
      <c r="B238" t="s">
        <v>768</v>
      </c>
      <c r="C238">
        <v>42</v>
      </c>
      <c r="D238" t="s">
        <v>17</v>
      </c>
      <c r="E238" t="s">
        <v>769</v>
      </c>
      <c r="F238" t="s">
        <v>291</v>
      </c>
      <c r="G238" t="s">
        <v>13</v>
      </c>
      <c r="H238" t="s">
        <v>28</v>
      </c>
    </row>
    <row r="239" spans="1:8" x14ac:dyDescent="0.3">
      <c r="A239" t="s">
        <v>770</v>
      </c>
      <c r="B239" t="s">
        <v>771</v>
      </c>
      <c r="C239">
        <v>41</v>
      </c>
      <c r="D239" t="s">
        <v>17</v>
      </c>
      <c r="E239" t="s">
        <v>772</v>
      </c>
      <c r="F239" t="s">
        <v>69</v>
      </c>
      <c r="G239" t="s">
        <v>13</v>
      </c>
      <c r="H239" t="s">
        <v>50</v>
      </c>
    </row>
    <row r="240" spans="1:8" x14ac:dyDescent="0.3">
      <c r="A240" t="s">
        <v>773</v>
      </c>
      <c r="B240" t="s">
        <v>774</v>
      </c>
      <c r="C240">
        <v>40</v>
      </c>
      <c r="D240" t="s">
        <v>10</v>
      </c>
      <c r="E240" t="s">
        <v>775</v>
      </c>
      <c r="F240" t="s">
        <v>45</v>
      </c>
      <c r="G240" t="s">
        <v>13</v>
      </c>
      <c r="H240" t="s">
        <v>14</v>
      </c>
    </row>
    <row r="241" spans="1:8" x14ac:dyDescent="0.3">
      <c r="A241" t="s">
        <v>776</v>
      </c>
      <c r="B241" t="s">
        <v>777</v>
      </c>
      <c r="C241">
        <v>58</v>
      </c>
      <c r="D241" t="s">
        <v>17</v>
      </c>
      <c r="E241" t="s">
        <v>778</v>
      </c>
      <c r="F241" t="s">
        <v>188</v>
      </c>
      <c r="G241" t="s">
        <v>13</v>
      </c>
      <c r="H241" t="s">
        <v>14</v>
      </c>
    </row>
    <row r="242" spans="1:8" x14ac:dyDescent="0.3">
      <c r="A242" t="s">
        <v>779</v>
      </c>
      <c r="B242" t="s">
        <v>780</v>
      </c>
      <c r="C242">
        <v>59</v>
      </c>
      <c r="D242" t="s">
        <v>17</v>
      </c>
      <c r="E242" t="s">
        <v>781</v>
      </c>
      <c r="F242" t="s">
        <v>160</v>
      </c>
      <c r="G242" t="s">
        <v>13</v>
      </c>
      <c r="H242" t="s">
        <v>14</v>
      </c>
    </row>
    <row r="243" spans="1:8" x14ac:dyDescent="0.3">
      <c r="A243" t="s">
        <v>782</v>
      </c>
      <c r="B243" t="s">
        <v>783</v>
      </c>
      <c r="C243">
        <v>31</v>
      </c>
      <c r="D243" t="s">
        <v>10</v>
      </c>
      <c r="E243" t="s">
        <v>784</v>
      </c>
      <c r="F243" t="s">
        <v>291</v>
      </c>
      <c r="G243" t="s">
        <v>13</v>
      </c>
      <c r="H243" t="s">
        <v>14</v>
      </c>
    </row>
    <row r="244" spans="1:8" x14ac:dyDescent="0.3">
      <c r="A244" t="s">
        <v>785</v>
      </c>
      <c r="B244" t="s">
        <v>786</v>
      </c>
      <c r="C244">
        <v>58</v>
      </c>
      <c r="D244" t="s">
        <v>17</v>
      </c>
      <c r="E244" t="s">
        <v>787</v>
      </c>
      <c r="F244" t="s">
        <v>171</v>
      </c>
      <c r="G244" t="s">
        <v>13</v>
      </c>
      <c r="H244" t="s">
        <v>33</v>
      </c>
    </row>
    <row r="245" spans="1:8" x14ac:dyDescent="0.3">
      <c r="A245" t="s">
        <v>788</v>
      </c>
      <c r="B245" t="s">
        <v>789</v>
      </c>
      <c r="C245">
        <v>56</v>
      </c>
      <c r="D245" t="s">
        <v>17</v>
      </c>
      <c r="E245" t="s">
        <v>790</v>
      </c>
      <c r="F245" t="s">
        <v>363</v>
      </c>
      <c r="G245" t="s">
        <v>13</v>
      </c>
      <c r="H245" t="s">
        <v>50</v>
      </c>
    </row>
    <row r="246" spans="1:8" x14ac:dyDescent="0.3">
      <c r="A246" t="s">
        <v>791</v>
      </c>
      <c r="B246" t="s">
        <v>792</v>
      </c>
      <c r="C246">
        <v>19</v>
      </c>
      <c r="D246" t="s">
        <v>10</v>
      </c>
      <c r="E246" t="s">
        <v>793</v>
      </c>
      <c r="F246" t="s">
        <v>121</v>
      </c>
      <c r="G246" t="s">
        <v>13</v>
      </c>
      <c r="H246" t="s">
        <v>28</v>
      </c>
    </row>
    <row r="247" spans="1:8" x14ac:dyDescent="0.3">
      <c r="A247" t="s">
        <v>794</v>
      </c>
      <c r="B247" t="s">
        <v>795</v>
      </c>
      <c r="C247">
        <v>57</v>
      </c>
      <c r="D247" t="s">
        <v>17</v>
      </c>
      <c r="E247" t="s">
        <v>796</v>
      </c>
      <c r="F247" t="s">
        <v>160</v>
      </c>
      <c r="G247" t="s">
        <v>13</v>
      </c>
      <c r="H247" t="s">
        <v>14</v>
      </c>
    </row>
    <row r="248" spans="1:8" x14ac:dyDescent="0.3">
      <c r="A248" t="s">
        <v>797</v>
      </c>
      <c r="B248" t="s">
        <v>798</v>
      </c>
      <c r="C248">
        <v>58</v>
      </c>
      <c r="D248" t="s">
        <v>10</v>
      </c>
      <c r="E248" t="s">
        <v>799</v>
      </c>
      <c r="F248" t="s">
        <v>295</v>
      </c>
      <c r="G248" t="s">
        <v>13</v>
      </c>
      <c r="H248" t="s">
        <v>28</v>
      </c>
    </row>
    <row r="249" spans="1:8" x14ac:dyDescent="0.3">
      <c r="A249" t="s">
        <v>800</v>
      </c>
      <c r="B249" t="s">
        <v>801</v>
      </c>
      <c r="C249">
        <v>32</v>
      </c>
      <c r="D249" t="s">
        <v>10</v>
      </c>
      <c r="E249" t="s">
        <v>802</v>
      </c>
      <c r="F249" t="s">
        <v>49</v>
      </c>
      <c r="G249" t="s">
        <v>13</v>
      </c>
      <c r="H249" t="s">
        <v>14</v>
      </c>
    </row>
    <row r="250" spans="1:8" x14ac:dyDescent="0.3">
      <c r="A250" t="s">
        <v>803</v>
      </c>
      <c r="B250" t="s">
        <v>804</v>
      </c>
      <c r="C250">
        <v>19</v>
      </c>
      <c r="D250" t="s">
        <v>10</v>
      </c>
      <c r="E250" t="s">
        <v>805</v>
      </c>
      <c r="F250" t="s">
        <v>188</v>
      </c>
      <c r="G250" t="s">
        <v>13</v>
      </c>
      <c r="H250" t="s">
        <v>50</v>
      </c>
    </row>
    <row r="251" spans="1:8" x14ac:dyDescent="0.3">
      <c r="A251" t="s">
        <v>806</v>
      </c>
      <c r="B251" t="s">
        <v>807</v>
      </c>
      <c r="C251">
        <v>41</v>
      </c>
      <c r="D251" t="s">
        <v>17</v>
      </c>
      <c r="E251" t="s">
        <v>808</v>
      </c>
      <c r="F251" t="s">
        <v>61</v>
      </c>
      <c r="G251" t="s">
        <v>13</v>
      </c>
      <c r="H251" t="s">
        <v>50</v>
      </c>
    </row>
    <row r="252" spans="1:8" x14ac:dyDescent="0.3">
      <c r="A252" t="s">
        <v>809</v>
      </c>
      <c r="B252" t="s">
        <v>810</v>
      </c>
      <c r="C252">
        <v>48</v>
      </c>
      <c r="D252" t="s">
        <v>10</v>
      </c>
      <c r="E252" t="s">
        <v>811</v>
      </c>
      <c r="F252" t="s">
        <v>95</v>
      </c>
      <c r="G252" t="s">
        <v>13</v>
      </c>
      <c r="H252" t="s">
        <v>14</v>
      </c>
    </row>
    <row r="253" spans="1:8" x14ac:dyDescent="0.3">
      <c r="A253" t="s">
        <v>812</v>
      </c>
      <c r="B253" t="s">
        <v>813</v>
      </c>
      <c r="C253">
        <v>64</v>
      </c>
      <c r="D253" t="s">
        <v>10</v>
      </c>
      <c r="E253" t="s">
        <v>814</v>
      </c>
      <c r="F253" t="s">
        <v>23</v>
      </c>
      <c r="G253" t="s">
        <v>13</v>
      </c>
      <c r="H253" t="s">
        <v>33</v>
      </c>
    </row>
    <row r="254" spans="1:8" x14ac:dyDescent="0.3">
      <c r="A254" t="s">
        <v>815</v>
      </c>
      <c r="B254" t="s">
        <v>816</v>
      </c>
      <c r="C254">
        <v>26</v>
      </c>
      <c r="D254" t="s">
        <v>10</v>
      </c>
      <c r="E254" t="s">
        <v>817</v>
      </c>
      <c r="F254" t="s">
        <v>41</v>
      </c>
      <c r="G254" t="s">
        <v>13</v>
      </c>
      <c r="H254" t="s">
        <v>33</v>
      </c>
    </row>
    <row r="255" spans="1:8" x14ac:dyDescent="0.3">
      <c r="A255" t="s">
        <v>818</v>
      </c>
      <c r="B255" t="s">
        <v>819</v>
      </c>
      <c r="C255">
        <v>32</v>
      </c>
      <c r="D255" t="s">
        <v>10</v>
      </c>
      <c r="E255" t="s">
        <v>820</v>
      </c>
      <c r="F255" t="s">
        <v>328</v>
      </c>
      <c r="G255" t="s">
        <v>13</v>
      </c>
      <c r="H255" t="s">
        <v>28</v>
      </c>
    </row>
    <row r="256" spans="1:8" x14ac:dyDescent="0.3">
      <c r="A256" t="s">
        <v>821</v>
      </c>
      <c r="B256" t="s">
        <v>822</v>
      </c>
      <c r="C256">
        <v>34</v>
      </c>
      <c r="D256" t="s">
        <v>10</v>
      </c>
      <c r="E256" t="s">
        <v>823</v>
      </c>
      <c r="F256" t="s">
        <v>167</v>
      </c>
      <c r="G256" t="s">
        <v>13</v>
      </c>
      <c r="H256" t="s">
        <v>33</v>
      </c>
    </row>
    <row r="257" spans="1:8" x14ac:dyDescent="0.3">
      <c r="A257" t="s">
        <v>824</v>
      </c>
      <c r="B257" t="s">
        <v>825</v>
      </c>
      <c r="C257">
        <v>21</v>
      </c>
      <c r="D257" t="s">
        <v>10</v>
      </c>
      <c r="E257" t="s">
        <v>826</v>
      </c>
      <c r="F257" t="s">
        <v>27</v>
      </c>
      <c r="G257" t="s">
        <v>13</v>
      </c>
      <c r="H257" t="s">
        <v>50</v>
      </c>
    </row>
    <row r="258" spans="1:8" x14ac:dyDescent="0.3">
      <c r="A258" t="s">
        <v>827</v>
      </c>
      <c r="B258" t="s">
        <v>828</v>
      </c>
      <c r="C258">
        <v>57</v>
      </c>
      <c r="D258" t="s">
        <v>10</v>
      </c>
      <c r="E258" t="s">
        <v>829</v>
      </c>
      <c r="F258" t="s">
        <v>295</v>
      </c>
      <c r="G258" t="s">
        <v>13</v>
      </c>
      <c r="H258" t="s">
        <v>14</v>
      </c>
    </row>
    <row r="259" spans="1:8" x14ac:dyDescent="0.3">
      <c r="A259" t="s">
        <v>830</v>
      </c>
      <c r="B259" t="s">
        <v>831</v>
      </c>
      <c r="C259">
        <v>42</v>
      </c>
      <c r="D259" t="s">
        <v>10</v>
      </c>
      <c r="E259" t="s">
        <v>832</v>
      </c>
      <c r="F259" t="s">
        <v>723</v>
      </c>
      <c r="G259" t="s">
        <v>13</v>
      </c>
      <c r="H259" t="s">
        <v>33</v>
      </c>
    </row>
    <row r="260" spans="1:8" x14ac:dyDescent="0.3">
      <c r="A260" t="s">
        <v>833</v>
      </c>
      <c r="B260" t="s">
        <v>834</v>
      </c>
      <c r="C260">
        <v>24</v>
      </c>
      <c r="D260" t="s">
        <v>17</v>
      </c>
      <c r="E260" t="s">
        <v>835</v>
      </c>
      <c r="F260" t="s">
        <v>363</v>
      </c>
      <c r="G260" t="s">
        <v>13</v>
      </c>
      <c r="H260" t="s">
        <v>14</v>
      </c>
    </row>
    <row r="261" spans="1:8" x14ac:dyDescent="0.3">
      <c r="A261" t="s">
        <v>836</v>
      </c>
      <c r="B261" t="s">
        <v>837</v>
      </c>
      <c r="C261">
        <v>32</v>
      </c>
      <c r="D261" t="s">
        <v>17</v>
      </c>
      <c r="E261" t="s">
        <v>838</v>
      </c>
      <c r="F261" t="s">
        <v>99</v>
      </c>
      <c r="G261" t="s">
        <v>13</v>
      </c>
      <c r="H261" t="s">
        <v>33</v>
      </c>
    </row>
    <row r="262" spans="1:8" x14ac:dyDescent="0.3">
      <c r="A262" t="s">
        <v>839</v>
      </c>
      <c r="B262" t="s">
        <v>840</v>
      </c>
      <c r="C262">
        <v>63</v>
      </c>
      <c r="D262" t="s">
        <v>17</v>
      </c>
      <c r="E262" t="s">
        <v>841</v>
      </c>
      <c r="F262" t="s">
        <v>137</v>
      </c>
      <c r="G262" t="s">
        <v>13</v>
      </c>
      <c r="H262" t="s">
        <v>14</v>
      </c>
    </row>
    <row r="263" spans="1:8" x14ac:dyDescent="0.3">
      <c r="A263" t="s">
        <v>842</v>
      </c>
      <c r="B263" t="s">
        <v>843</v>
      </c>
      <c r="C263">
        <v>27</v>
      </c>
      <c r="D263" t="s">
        <v>17</v>
      </c>
      <c r="E263" t="s">
        <v>844</v>
      </c>
      <c r="F263" t="s">
        <v>37</v>
      </c>
      <c r="G263" t="s">
        <v>13</v>
      </c>
      <c r="H263" t="s">
        <v>33</v>
      </c>
    </row>
    <row r="264" spans="1:8" x14ac:dyDescent="0.3">
      <c r="A264" t="s">
        <v>845</v>
      </c>
      <c r="B264" t="s">
        <v>846</v>
      </c>
      <c r="C264">
        <v>60</v>
      </c>
      <c r="D264" t="s">
        <v>17</v>
      </c>
      <c r="E264" t="s">
        <v>847</v>
      </c>
      <c r="F264" t="s">
        <v>69</v>
      </c>
      <c r="G264" t="s">
        <v>13</v>
      </c>
      <c r="H264" t="s">
        <v>33</v>
      </c>
    </row>
    <row r="265" spans="1:8" x14ac:dyDescent="0.3">
      <c r="A265" t="s">
        <v>848</v>
      </c>
      <c r="B265" t="s">
        <v>849</v>
      </c>
      <c r="C265">
        <v>50</v>
      </c>
      <c r="D265" t="s">
        <v>10</v>
      </c>
      <c r="E265" t="s">
        <v>850</v>
      </c>
      <c r="F265" t="s">
        <v>332</v>
      </c>
      <c r="G265" t="s">
        <v>13</v>
      </c>
      <c r="H265" t="s">
        <v>28</v>
      </c>
    </row>
    <row r="266" spans="1:8" x14ac:dyDescent="0.3">
      <c r="A266" t="s">
        <v>851</v>
      </c>
      <c r="B266" t="s">
        <v>852</v>
      </c>
      <c r="C266">
        <v>25</v>
      </c>
      <c r="D266" t="s">
        <v>10</v>
      </c>
      <c r="E266" t="s">
        <v>853</v>
      </c>
      <c r="F266" t="s">
        <v>854</v>
      </c>
      <c r="G266" t="s">
        <v>13</v>
      </c>
      <c r="H266" t="s">
        <v>50</v>
      </c>
    </row>
    <row r="267" spans="1:8" x14ac:dyDescent="0.3">
      <c r="A267" t="s">
        <v>855</v>
      </c>
      <c r="B267" t="s">
        <v>856</v>
      </c>
      <c r="C267">
        <v>38</v>
      </c>
      <c r="D267" t="s">
        <v>10</v>
      </c>
      <c r="E267" t="s">
        <v>857</v>
      </c>
      <c r="F267" t="s">
        <v>241</v>
      </c>
      <c r="G267" t="s">
        <v>13</v>
      </c>
      <c r="H267" t="s">
        <v>33</v>
      </c>
    </row>
    <row r="268" spans="1:8" x14ac:dyDescent="0.3">
      <c r="A268" t="s">
        <v>858</v>
      </c>
      <c r="B268" t="s">
        <v>859</v>
      </c>
      <c r="C268">
        <v>32</v>
      </c>
      <c r="D268" t="s">
        <v>17</v>
      </c>
      <c r="E268" t="s">
        <v>860</v>
      </c>
      <c r="F268" t="s">
        <v>594</v>
      </c>
      <c r="G268" t="s">
        <v>13</v>
      </c>
      <c r="H268" t="s">
        <v>28</v>
      </c>
    </row>
    <row r="269" spans="1:8" x14ac:dyDescent="0.3">
      <c r="A269" t="s">
        <v>861</v>
      </c>
      <c r="B269" t="s">
        <v>862</v>
      </c>
      <c r="C269">
        <v>18</v>
      </c>
      <c r="D269" t="s">
        <v>10</v>
      </c>
      <c r="E269" t="s">
        <v>790</v>
      </c>
      <c r="F269" t="s">
        <v>69</v>
      </c>
      <c r="G269" t="s">
        <v>13</v>
      </c>
      <c r="H269" t="s">
        <v>28</v>
      </c>
    </row>
    <row r="270" spans="1:8" x14ac:dyDescent="0.3">
      <c r="A270" t="s">
        <v>863</v>
      </c>
      <c r="B270" t="s">
        <v>864</v>
      </c>
      <c r="C270">
        <v>53</v>
      </c>
      <c r="D270" t="s">
        <v>17</v>
      </c>
      <c r="E270" t="s">
        <v>865</v>
      </c>
      <c r="F270" t="s">
        <v>205</v>
      </c>
      <c r="G270" t="s">
        <v>13</v>
      </c>
      <c r="H270" t="s">
        <v>28</v>
      </c>
    </row>
    <row r="271" spans="1:8" x14ac:dyDescent="0.3">
      <c r="A271" t="s">
        <v>866</v>
      </c>
      <c r="B271" t="s">
        <v>867</v>
      </c>
      <c r="C271">
        <v>45</v>
      </c>
      <c r="D271" t="s">
        <v>17</v>
      </c>
      <c r="E271" t="s">
        <v>868</v>
      </c>
      <c r="F271" t="s">
        <v>32</v>
      </c>
      <c r="G271" t="s">
        <v>13</v>
      </c>
      <c r="H271" t="s">
        <v>33</v>
      </c>
    </row>
    <row r="272" spans="1:8" x14ac:dyDescent="0.3">
      <c r="A272" t="s">
        <v>869</v>
      </c>
      <c r="B272" t="s">
        <v>870</v>
      </c>
      <c r="C272">
        <v>31</v>
      </c>
      <c r="D272" t="s">
        <v>17</v>
      </c>
      <c r="E272" t="s">
        <v>871</v>
      </c>
      <c r="F272" t="s">
        <v>332</v>
      </c>
      <c r="G272" t="s">
        <v>13</v>
      </c>
      <c r="H272" t="s">
        <v>50</v>
      </c>
    </row>
    <row r="273" spans="1:8" x14ac:dyDescent="0.3">
      <c r="A273" t="s">
        <v>872</v>
      </c>
      <c r="B273" t="s">
        <v>873</v>
      </c>
      <c r="C273">
        <v>64</v>
      </c>
      <c r="D273" t="s">
        <v>10</v>
      </c>
      <c r="E273" t="s">
        <v>874</v>
      </c>
      <c r="F273" t="s">
        <v>73</v>
      </c>
      <c r="G273" t="s">
        <v>13</v>
      </c>
      <c r="H273" t="s">
        <v>14</v>
      </c>
    </row>
    <row r="274" spans="1:8" x14ac:dyDescent="0.3">
      <c r="A274" t="s">
        <v>875</v>
      </c>
      <c r="B274" t="s">
        <v>876</v>
      </c>
      <c r="C274">
        <v>48</v>
      </c>
      <c r="D274" t="s">
        <v>17</v>
      </c>
      <c r="E274" t="s">
        <v>877</v>
      </c>
      <c r="F274" t="s">
        <v>32</v>
      </c>
      <c r="G274" t="s">
        <v>13</v>
      </c>
      <c r="H274" t="s">
        <v>50</v>
      </c>
    </row>
    <row r="275" spans="1:8" x14ac:dyDescent="0.3">
      <c r="A275" t="s">
        <v>878</v>
      </c>
      <c r="B275" t="s">
        <v>879</v>
      </c>
      <c r="C275">
        <v>23</v>
      </c>
      <c r="D275" t="s">
        <v>10</v>
      </c>
      <c r="E275" t="s">
        <v>880</v>
      </c>
      <c r="F275" t="s">
        <v>317</v>
      </c>
      <c r="G275" t="s">
        <v>13</v>
      </c>
      <c r="H275" t="s">
        <v>28</v>
      </c>
    </row>
    <row r="276" spans="1:8" x14ac:dyDescent="0.3">
      <c r="A276" t="s">
        <v>881</v>
      </c>
      <c r="B276" t="s">
        <v>882</v>
      </c>
      <c r="C276">
        <v>38</v>
      </c>
      <c r="D276" t="s">
        <v>10</v>
      </c>
      <c r="E276" t="s">
        <v>883</v>
      </c>
      <c r="F276" t="s">
        <v>175</v>
      </c>
      <c r="G276" t="s">
        <v>13</v>
      </c>
      <c r="H276" t="s">
        <v>33</v>
      </c>
    </row>
    <row r="277" spans="1:8" x14ac:dyDescent="0.3">
      <c r="A277" t="s">
        <v>884</v>
      </c>
      <c r="B277" t="s">
        <v>885</v>
      </c>
      <c r="C277">
        <v>22</v>
      </c>
      <c r="D277" t="s">
        <v>10</v>
      </c>
      <c r="E277" t="s">
        <v>886</v>
      </c>
      <c r="F277" t="s">
        <v>594</v>
      </c>
      <c r="G277" t="s">
        <v>13</v>
      </c>
      <c r="H277" t="s">
        <v>50</v>
      </c>
    </row>
    <row r="278" spans="1:8" x14ac:dyDescent="0.3">
      <c r="A278" t="s">
        <v>887</v>
      </c>
      <c r="B278" t="s">
        <v>888</v>
      </c>
      <c r="C278">
        <v>38</v>
      </c>
      <c r="D278" t="s">
        <v>10</v>
      </c>
      <c r="E278" t="s">
        <v>889</v>
      </c>
      <c r="F278" t="s">
        <v>188</v>
      </c>
      <c r="G278" t="s">
        <v>13</v>
      </c>
      <c r="H278" t="s">
        <v>50</v>
      </c>
    </row>
    <row r="279" spans="1:8" x14ac:dyDescent="0.3">
      <c r="A279" t="s">
        <v>890</v>
      </c>
      <c r="B279" t="s">
        <v>891</v>
      </c>
      <c r="C279">
        <v>22</v>
      </c>
      <c r="D279" t="s">
        <v>17</v>
      </c>
      <c r="E279" t="s">
        <v>892</v>
      </c>
      <c r="F279" t="s">
        <v>278</v>
      </c>
      <c r="G279" t="s">
        <v>13</v>
      </c>
      <c r="H279" t="s">
        <v>14</v>
      </c>
    </row>
    <row r="280" spans="1:8" x14ac:dyDescent="0.3">
      <c r="A280" t="s">
        <v>893</v>
      </c>
      <c r="B280" t="s">
        <v>894</v>
      </c>
      <c r="C280">
        <v>42</v>
      </c>
      <c r="D280" t="s">
        <v>17</v>
      </c>
      <c r="E280" t="s">
        <v>895</v>
      </c>
      <c r="F280" t="s">
        <v>221</v>
      </c>
      <c r="G280" t="s">
        <v>13</v>
      </c>
      <c r="H280" t="s">
        <v>14</v>
      </c>
    </row>
    <row r="281" spans="1:8" x14ac:dyDescent="0.3">
      <c r="A281" t="s">
        <v>896</v>
      </c>
      <c r="B281" t="s">
        <v>897</v>
      </c>
      <c r="C281">
        <v>21</v>
      </c>
      <c r="D281" t="s">
        <v>17</v>
      </c>
      <c r="E281" t="s">
        <v>898</v>
      </c>
      <c r="F281" t="s">
        <v>27</v>
      </c>
      <c r="G281" t="s">
        <v>13</v>
      </c>
      <c r="H281" t="s">
        <v>28</v>
      </c>
    </row>
    <row r="282" spans="1:8" x14ac:dyDescent="0.3">
      <c r="A282" t="s">
        <v>899</v>
      </c>
      <c r="B282" t="s">
        <v>900</v>
      </c>
      <c r="C282">
        <v>48</v>
      </c>
      <c r="D282" t="s">
        <v>10</v>
      </c>
      <c r="E282" t="s">
        <v>901</v>
      </c>
      <c r="F282" t="s">
        <v>103</v>
      </c>
      <c r="G282" t="s">
        <v>13</v>
      </c>
      <c r="H282" t="s">
        <v>28</v>
      </c>
    </row>
    <row r="283" spans="1:8" x14ac:dyDescent="0.3">
      <c r="A283" t="s">
        <v>902</v>
      </c>
      <c r="B283" t="s">
        <v>903</v>
      </c>
      <c r="C283">
        <v>59</v>
      </c>
      <c r="D283" t="s">
        <v>10</v>
      </c>
      <c r="E283" t="s">
        <v>904</v>
      </c>
      <c r="F283" t="s">
        <v>171</v>
      </c>
      <c r="G283" t="s">
        <v>13</v>
      </c>
      <c r="H283" t="s">
        <v>14</v>
      </c>
    </row>
    <row r="284" spans="1:8" x14ac:dyDescent="0.3">
      <c r="A284" t="s">
        <v>905</v>
      </c>
      <c r="B284" t="s">
        <v>906</v>
      </c>
      <c r="C284">
        <v>46</v>
      </c>
      <c r="D284" t="s">
        <v>17</v>
      </c>
      <c r="E284" t="s">
        <v>907</v>
      </c>
      <c r="F284" t="s">
        <v>91</v>
      </c>
      <c r="G284" t="s">
        <v>13</v>
      </c>
      <c r="H284" t="s">
        <v>50</v>
      </c>
    </row>
    <row r="285" spans="1:8" x14ac:dyDescent="0.3">
      <c r="A285" t="s">
        <v>908</v>
      </c>
      <c r="B285" t="s">
        <v>909</v>
      </c>
      <c r="C285">
        <v>54</v>
      </c>
      <c r="D285" t="s">
        <v>17</v>
      </c>
      <c r="E285" t="s">
        <v>910</v>
      </c>
      <c r="F285" t="s">
        <v>854</v>
      </c>
      <c r="G285" t="s">
        <v>13</v>
      </c>
      <c r="H285" t="s">
        <v>33</v>
      </c>
    </row>
    <row r="286" spans="1:8" x14ac:dyDescent="0.3">
      <c r="A286" t="s">
        <v>911</v>
      </c>
      <c r="B286" t="s">
        <v>912</v>
      </c>
      <c r="C286">
        <v>54</v>
      </c>
      <c r="D286" t="s">
        <v>10</v>
      </c>
      <c r="E286" t="s">
        <v>913</v>
      </c>
      <c r="F286" t="s">
        <v>171</v>
      </c>
      <c r="G286" t="s">
        <v>13</v>
      </c>
      <c r="H286" t="s">
        <v>50</v>
      </c>
    </row>
    <row r="287" spans="1:8" x14ac:dyDescent="0.3">
      <c r="A287" t="s">
        <v>914</v>
      </c>
      <c r="B287" t="s">
        <v>915</v>
      </c>
      <c r="C287">
        <v>46</v>
      </c>
      <c r="D287" t="s">
        <v>17</v>
      </c>
      <c r="E287" t="s">
        <v>916</v>
      </c>
      <c r="F287" t="s">
        <v>723</v>
      </c>
      <c r="G287" t="s">
        <v>13</v>
      </c>
      <c r="H287" t="s">
        <v>33</v>
      </c>
    </row>
    <row r="288" spans="1:8" x14ac:dyDescent="0.3">
      <c r="A288" t="s">
        <v>917</v>
      </c>
      <c r="B288" t="s">
        <v>918</v>
      </c>
      <c r="C288">
        <v>22</v>
      </c>
      <c r="D288" t="s">
        <v>10</v>
      </c>
      <c r="E288" t="s">
        <v>919</v>
      </c>
      <c r="F288" t="s">
        <v>41</v>
      </c>
      <c r="G288" t="s">
        <v>13</v>
      </c>
      <c r="H288" t="s">
        <v>33</v>
      </c>
    </row>
    <row r="289" spans="1:8" x14ac:dyDescent="0.3">
      <c r="A289" t="s">
        <v>920</v>
      </c>
      <c r="B289" t="s">
        <v>921</v>
      </c>
      <c r="C289">
        <v>22</v>
      </c>
      <c r="D289" t="s">
        <v>17</v>
      </c>
      <c r="E289" t="s">
        <v>922</v>
      </c>
      <c r="F289" t="s">
        <v>175</v>
      </c>
      <c r="G289" t="s">
        <v>13</v>
      </c>
      <c r="H289" t="s">
        <v>50</v>
      </c>
    </row>
    <row r="290" spans="1:8" x14ac:dyDescent="0.3">
      <c r="A290" t="s">
        <v>923</v>
      </c>
      <c r="B290" t="s">
        <v>924</v>
      </c>
      <c r="C290">
        <v>58</v>
      </c>
      <c r="D290" t="s">
        <v>10</v>
      </c>
      <c r="E290" t="s">
        <v>925</v>
      </c>
      <c r="F290" t="s">
        <v>171</v>
      </c>
      <c r="G290" t="s">
        <v>13</v>
      </c>
      <c r="H290" t="s">
        <v>50</v>
      </c>
    </row>
    <row r="291" spans="1:8" x14ac:dyDescent="0.3">
      <c r="A291" t="s">
        <v>926</v>
      </c>
      <c r="B291" t="s">
        <v>927</v>
      </c>
      <c r="C291">
        <v>45</v>
      </c>
      <c r="D291" t="s">
        <v>10</v>
      </c>
      <c r="E291" t="s">
        <v>928</v>
      </c>
      <c r="F291" t="s">
        <v>27</v>
      </c>
      <c r="G291" t="s">
        <v>13</v>
      </c>
      <c r="H291" t="s">
        <v>28</v>
      </c>
    </row>
    <row r="292" spans="1:8" x14ac:dyDescent="0.3">
      <c r="A292" t="s">
        <v>929</v>
      </c>
      <c r="B292" t="s">
        <v>930</v>
      </c>
      <c r="C292">
        <v>52</v>
      </c>
      <c r="D292" t="s">
        <v>17</v>
      </c>
      <c r="E292" t="s">
        <v>931</v>
      </c>
      <c r="F292" t="s">
        <v>291</v>
      </c>
      <c r="G292" t="s">
        <v>13</v>
      </c>
      <c r="H292" t="s">
        <v>33</v>
      </c>
    </row>
    <row r="293" spans="1:8" x14ac:dyDescent="0.3">
      <c r="A293" t="s">
        <v>932</v>
      </c>
      <c r="B293" t="s">
        <v>933</v>
      </c>
      <c r="C293">
        <v>40</v>
      </c>
      <c r="D293" t="s">
        <v>17</v>
      </c>
      <c r="E293" t="s">
        <v>934</v>
      </c>
      <c r="F293" t="s">
        <v>117</v>
      </c>
      <c r="G293" t="s">
        <v>13</v>
      </c>
      <c r="H293" t="s">
        <v>28</v>
      </c>
    </row>
    <row r="294" spans="1:8" x14ac:dyDescent="0.3">
      <c r="A294" t="s">
        <v>935</v>
      </c>
      <c r="B294" t="s">
        <v>936</v>
      </c>
      <c r="C294">
        <v>30</v>
      </c>
      <c r="D294" t="s">
        <v>10</v>
      </c>
      <c r="E294" t="s">
        <v>937</v>
      </c>
      <c r="F294" t="s">
        <v>205</v>
      </c>
      <c r="G294" t="s">
        <v>13</v>
      </c>
      <c r="H294" t="s">
        <v>33</v>
      </c>
    </row>
    <row r="295" spans="1:8" x14ac:dyDescent="0.3">
      <c r="A295" t="s">
        <v>938</v>
      </c>
      <c r="B295" t="s">
        <v>939</v>
      </c>
      <c r="C295">
        <v>56</v>
      </c>
      <c r="D295" t="s">
        <v>17</v>
      </c>
      <c r="E295" t="s">
        <v>940</v>
      </c>
      <c r="F295" t="s">
        <v>332</v>
      </c>
      <c r="G295" t="s">
        <v>13</v>
      </c>
      <c r="H295" t="s">
        <v>14</v>
      </c>
    </row>
    <row r="296" spans="1:8" x14ac:dyDescent="0.3">
      <c r="A296" t="s">
        <v>941</v>
      </c>
      <c r="B296" t="s">
        <v>942</v>
      </c>
      <c r="C296">
        <v>29</v>
      </c>
      <c r="D296" t="s">
        <v>10</v>
      </c>
      <c r="E296" t="s">
        <v>579</v>
      </c>
      <c r="F296" t="s">
        <v>69</v>
      </c>
      <c r="G296" t="s">
        <v>13</v>
      </c>
      <c r="H296" t="s">
        <v>14</v>
      </c>
    </row>
    <row r="297" spans="1:8" x14ac:dyDescent="0.3">
      <c r="A297" t="s">
        <v>943</v>
      </c>
      <c r="B297" t="s">
        <v>944</v>
      </c>
      <c r="C297">
        <v>19</v>
      </c>
      <c r="D297" t="s">
        <v>17</v>
      </c>
      <c r="E297" t="s">
        <v>945</v>
      </c>
      <c r="F297" t="s">
        <v>65</v>
      </c>
      <c r="G297" t="s">
        <v>13</v>
      </c>
      <c r="H297" t="s">
        <v>28</v>
      </c>
    </row>
    <row r="298" spans="1:8" x14ac:dyDescent="0.3">
      <c r="A298" t="s">
        <v>946</v>
      </c>
      <c r="B298" t="s">
        <v>947</v>
      </c>
      <c r="C298">
        <v>28</v>
      </c>
      <c r="D298" t="s">
        <v>17</v>
      </c>
      <c r="E298" t="s">
        <v>301</v>
      </c>
      <c r="F298" t="s">
        <v>45</v>
      </c>
      <c r="G298" t="s">
        <v>13</v>
      </c>
      <c r="H298" t="s">
        <v>28</v>
      </c>
    </row>
    <row r="299" spans="1:8" x14ac:dyDescent="0.3">
      <c r="A299" t="s">
        <v>948</v>
      </c>
      <c r="B299" t="s">
        <v>949</v>
      </c>
      <c r="C299">
        <v>47</v>
      </c>
      <c r="D299" t="s">
        <v>17</v>
      </c>
      <c r="E299" t="s">
        <v>950</v>
      </c>
      <c r="F299" t="s">
        <v>117</v>
      </c>
      <c r="G299" t="s">
        <v>13</v>
      </c>
      <c r="H299" t="s">
        <v>33</v>
      </c>
    </row>
    <row r="300" spans="1:8" x14ac:dyDescent="0.3">
      <c r="A300" t="s">
        <v>951</v>
      </c>
      <c r="B300" t="s">
        <v>952</v>
      </c>
      <c r="C300">
        <v>64</v>
      </c>
      <c r="D300" t="s">
        <v>10</v>
      </c>
      <c r="E300" t="s">
        <v>953</v>
      </c>
      <c r="F300" t="s">
        <v>439</v>
      </c>
      <c r="G300" t="s">
        <v>13</v>
      </c>
      <c r="H300" t="s">
        <v>14</v>
      </c>
    </row>
    <row r="301" spans="1:8" x14ac:dyDescent="0.3">
      <c r="A301" t="s">
        <v>954</v>
      </c>
      <c r="B301" t="s">
        <v>955</v>
      </c>
      <c r="C301">
        <v>48</v>
      </c>
      <c r="D301" t="s">
        <v>17</v>
      </c>
      <c r="E301" t="s">
        <v>956</v>
      </c>
      <c r="F301" t="s">
        <v>332</v>
      </c>
      <c r="G301" t="s">
        <v>13</v>
      </c>
      <c r="H301" t="s">
        <v>14</v>
      </c>
    </row>
    <row r="302" spans="1:8" x14ac:dyDescent="0.3">
      <c r="A302" t="s">
        <v>957</v>
      </c>
      <c r="B302" t="s">
        <v>958</v>
      </c>
      <c r="C302">
        <v>29</v>
      </c>
      <c r="D302" t="s">
        <v>10</v>
      </c>
      <c r="E302" t="s">
        <v>959</v>
      </c>
      <c r="F302" t="s">
        <v>37</v>
      </c>
      <c r="G302" t="s">
        <v>13</v>
      </c>
      <c r="H302" t="s">
        <v>33</v>
      </c>
    </row>
    <row r="303" spans="1:8" x14ac:dyDescent="0.3">
      <c r="A303" t="s">
        <v>960</v>
      </c>
      <c r="B303" t="s">
        <v>961</v>
      </c>
      <c r="C303">
        <v>50</v>
      </c>
      <c r="D303" t="s">
        <v>10</v>
      </c>
      <c r="E303" t="s">
        <v>962</v>
      </c>
      <c r="F303" t="s">
        <v>291</v>
      </c>
      <c r="G303" t="s">
        <v>13</v>
      </c>
      <c r="H303" t="s">
        <v>50</v>
      </c>
    </row>
    <row r="304" spans="1:8" x14ac:dyDescent="0.3">
      <c r="A304" t="s">
        <v>963</v>
      </c>
      <c r="B304" t="s">
        <v>964</v>
      </c>
      <c r="C304">
        <v>36</v>
      </c>
      <c r="D304" t="s">
        <v>10</v>
      </c>
      <c r="E304" t="s">
        <v>965</v>
      </c>
      <c r="F304" t="s">
        <v>137</v>
      </c>
      <c r="G304" t="s">
        <v>13</v>
      </c>
      <c r="H304" t="s">
        <v>50</v>
      </c>
    </row>
    <row r="305" spans="1:8" x14ac:dyDescent="0.3">
      <c r="A305" t="s">
        <v>966</v>
      </c>
      <c r="B305" t="s">
        <v>967</v>
      </c>
      <c r="C305">
        <v>23</v>
      </c>
      <c r="D305" t="s">
        <v>17</v>
      </c>
      <c r="E305" t="s">
        <v>968</v>
      </c>
      <c r="F305" t="s">
        <v>95</v>
      </c>
      <c r="G305" t="s">
        <v>13</v>
      </c>
      <c r="H305" t="s">
        <v>14</v>
      </c>
    </row>
    <row r="306" spans="1:8" x14ac:dyDescent="0.3">
      <c r="A306" t="s">
        <v>969</v>
      </c>
      <c r="B306" t="s">
        <v>970</v>
      </c>
      <c r="C306">
        <v>41</v>
      </c>
      <c r="D306" t="s">
        <v>10</v>
      </c>
      <c r="E306" t="s">
        <v>971</v>
      </c>
      <c r="F306" t="s">
        <v>65</v>
      </c>
      <c r="G306" t="s">
        <v>13</v>
      </c>
      <c r="H306" t="s">
        <v>33</v>
      </c>
    </row>
    <row r="307" spans="1:8" x14ac:dyDescent="0.3">
      <c r="A307" t="s">
        <v>972</v>
      </c>
      <c r="B307" t="s">
        <v>973</v>
      </c>
      <c r="C307">
        <v>64</v>
      </c>
      <c r="D307" t="s">
        <v>10</v>
      </c>
      <c r="E307" t="s">
        <v>974</v>
      </c>
      <c r="F307" t="s">
        <v>77</v>
      </c>
      <c r="G307" t="s">
        <v>13</v>
      </c>
      <c r="H307" t="s">
        <v>14</v>
      </c>
    </row>
    <row r="308" spans="1:8" x14ac:dyDescent="0.3">
      <c r="A308" t="s">
        <v>975</v>
      </c>
      <c r="B308" t="s">
        <v>976</v>
      </c>
      <c r="C308">
        <v>44</v>
      </c>
      <c r="D308" t="s">
        <v>10</v>
      </c>
      <c r="E308" t="s">
        <v>977</v>
      </c>
      <c r="F308" t="s">
        <v>241</v>
      </c>
      <c r="G308" t="s">
        <v>13</v>
      </c>
      <c r="H308" t="s">
        <v>14</v>
      </c>
    </row>
    <row r="309" spans="1:8" x14ac:dyDescent="0.3">
      <c r="A309" t="s">
        <v>978</v>
      </c>
      <c r="B309" t="s">
        <v>979</v>
      </c>
      <c r="C309">
        <v>56</v>
      </c>
      <c r="D309" t="s">
        <v>17</v>
      </c>
      <c r="E309" t="s">
        <v>980</v>
      </c>
      <c r="F309" t="s">
        <v>23</v>
      </c>
      <c r="G309" t="s">
        <v>13</v>
      </c>
      <c r="H309" t="s">
        <v>28</v>
      </c>
    </row>
    <row r="310" spans="1:8" x14ac:dyDescent="0.3">
      <c r="A310" t="s">
        <v>981</v>
      </c>
      <c r="B310" t="s">
        <v>982</v>
      </c>
      <c r="C310">
        <v>60</v>
      </c>
      <c r="D310" t="s">
        <v>17</v>
      </c>
      <c r="E310" t="s">
        <v>983</v>
      </c>
      <c r="F310" t="s">
        <v>271</v>
      </c>
      <c r="G310" t="s">
        <v>13</v>
      </c>
      <c r="H310" t="s">
        <v>50</v>
      </c>
    </row>
    <row r="311" spans="1:8" x14ac:dyDescent="0.3">
      <c r="A311" t="s">
        <v>984</v>
      </c>
      <c r="B311" t="s">
        <v>985</v>
      </c>
      <c r="C311">
        <v>41</v>
      </c>
      <c r="D311" t="s">
        <v>17</v>
      </c>
      <c r="E311" t="s">
        <v>986</v>
      </c>
      <c r="F311" t="s">
        <v>32</v>
      </c>
      <c r="G311" t="s">
        <v>13</v>
      </c>
      <c r="H311" t="s">
        <v>28</v>
      </c>
    </row>
    <row r="312" spans="1:8" x14ac:dyDescent="0.3">
      <c r="A312" t="s">
        <v>987</v>
      </c>
      <c r="B312" t="s">
        <v>988</v>
      </c>
      <c r="C312">
        <v>20</v>
      </c>
      <c r="D312" t="s">
        <v>10</v>
      </c>
      <c r="E312" t="s">
        <v>989</v>
      </c>
      <c r="F312" t="s">
        <v>175</v>
      </c>
      <c r="G312" t="s">
        <v>13</v>
      </c>
      <c r="H312" t="s">
        <v>33</v>
      </c>
    </row>
    <row r="313" spans="1:8" x14ac:dyDescent="0.3">
      <c r="A313" t="s">
        <v>990</v>
      </c>
      <c r="B313" t="s">
        <v>991</v>
      </c>
      <c r="C313">
        <v>35</v>
      </c>
      <c r="D313" t="s">
        <v>10</v>
      </c>
      <c r="E313" t="s">
        <v>992</v>
      </c>
      <c r="F313" t="s">
        <v>37</v>
      </c>
      <c r="G313" t="s">
        <v>13</v>
      </c>
      <c r="H313" t="s">
        <v>14</v>
      </c>
    </row>
    <row r="314" spans="1:8" x14ac:dyDescent="0.3">
      <c r="A314" t="s">
        <v>993</v>
      </c>
      <c r="B314" t="s">
        <v>994</v>
      </c>
      <c r="C314">
        <v>47</v>
      </c>
      <c r="D314" t="s">
        <v>17</v>
      </c>
      <c r="E314" t="s">
        <v>995</v>
      </c>
      <c r="F314" t="s">
        <v>95</v>
      </c>
      <c r="G314" t="s">
        <v>13</v>
      </c>
      <c r="H314" t="s">
        <v>33</v>
      </c>
    </row>
    <row r="315" spans="1:8" x14ac:dyDescent="0.3">
      <c r="A315" t="s">
        <v>996</v>
      </c>
      <c r="B315" t="s">
        <v>997</v>
      </c>
      <c r="C315">
        <v>62</v>
      </c>
      <c r="D315" t="s">
        <v>10</v>
      </c>
      <c r="E315" t="s">
        <v>998</v>
      </c>
      <c r="F315" t="s">
        <v>144</v>
      </c>
      <c r="G315" t="s">
        <v>13</v>
      </c>
      <c r="H315" t="s">
        <v>14</v>
      </c>
    </row>
    <row r="316" spans="1:8" x14ac:dyDescent="0.3">
      <c r="A316" t="s">
        <v>999</v>
      </c>
      <c r="B316" t="s">
        <v>1000</v>
      </c>
      <c r="C316">
        <v>53</v>
      </c>
      <c r="D316" t="s">
        <v>17</v>
      </c>
      <c r="E316" t="s">
        <v>1001</v>
      </c>
      <c r="F316" t="s">
        <v>77</v>
      </c>
      <c r="G316" t="s">
        <v>13</v>
      </c>
      <c r="H316" t="s">
        <v>33</v>
      </c>
    </row>
    <row r="317" spans="1:8" x14ac:dyDescent="0.3">
      <c r="A317" t="s">
        <v>1002</v>
      </c>
      <c r="B317" t="s">
        <v>1003</v>
      </c>
      <c r="C317">
        <v>49</v>
      </c>
      <c r="D317" t="s">
        <v>10</v>
      </c>
      <c r="E317" t="s">
        <v>1004</v>
      </c>
      <c r="F317" t="s">
        <v>723</v>
      </c>
      <c r="G317" t="s">
        <v>13</v>
      </c>
      <c r="H317" t="s">
        <v>33</v>
      </c>
    </row>
    <row r="318" spans="1:8" x14ac:dyDescent="0.3">
      <c r="A318" t="s">
        <v>1005</v>
      </c>
      <c r="B318" t="s">
        <v>1006</v>
      </c>
      <c r="C318">
        <v>34</v>
      </c>
      <c r="D318" t="s">
        <v>10</v>
      </c>
      <c r="E318" t="s">
        <v>1007</v>
      </c>
      <c r="F318" t="s">
        <v>144</v>
      </c>
      <c r="G318" t="s">
        <v>13</v>
      </c>
      <c r="H318" t="s">
        <v>50</v>
      </c>
    </row>
    <row r="319" spans="1:8" x14ac:dyDescent="0.3">
      <c r="A319" t="s">
        <v>1008</v>
      </c>
      <c r="B319" t="s">
        <v>1009</v>
      </c>
      <c r="C319">
        <v>64</v>
      </c>
      <c r="D319" t="s">
        <v>17</v>
      </c>
      <c r="E319" t="s">
        <v>1010</v>
      </c>
      <c r="F319" t="s">
        <v>49</v>
      </c>
      <c r="G319" t="s">
        <v>13</v>
      </c>
      <c r="H319" t="s">
        <v>50</v>
      </c>
    </row>
    <row r="320" spans="1:8" x14ac:dyDescent="0.3">
      <c r="A320" t="s">
        <v>1011</v>
      </c>
      <c r="B320" t="s">
        <v>1012</v>
      </c>
      <c r="C320">
        <v>25</v>
      </c>
      <c r="D320" t="s">
        <v>10</v>
      </c>
      <c r="E320" t="s">
        <v>1013</v>
      </c>
      <c r="F320" t="s">
        <v>65</v>
      </c>
      <c r="G320" t="s">
        <v>13</v>
      </c>
      <c r="H320" t="s">
        <v>14</v>
      </c>
    </row>
    <row r="321" spans="1:8" x14ac:dyDescent="0.3">
      <c r="A321" t="s">
        <v>1014</v>
      </c>
      <c r="B321" t="s">
        <v>1015</v>
      </c>
      <c r="C321">
        <v>54</v>
      </c>
      <c r="D321" t="s">
        <v>10</v>
      </c>
      <c r="E321" t="s">
        <v>1016</v>
      </c>
      <c r="F321" t="s">
        <v>317</v>
      </c>
      <c r="G321" t="s">
        <v>13</v>
      </c>
      <c r="H321" t="s">
        <v>14</v>
      </c>
    </row>
    <row r="322" spans="1:8" x14ac:dyDescent="0.3">
      <c r="A322" t="s">
        <v>1017</v>
      </c>
      <c r="B322" t="s">
        <v>1018</v>
      </c>
      <c r="C322">
        <v>34</v>
      </c>
      <c r="D322" t="s">
        <v>17</v>
      </c>
      <c r="E322" t="s">
        <v>1019</v>
      </c>
      <c r="F322" t="s">
        <v>271</v>
      </c>
      <c r="G322" t="s">
        <v>13</v>
      </c>
      <c r="H322" t="s">
        <v>28</v>
      </c>
    </row>
    <row r="323" spans="1:8" x14ac:dyDescent="0.3">
      <c r="A323" t="s">
        <v>1020</v>
      </c>
      <c r="B323" t="s">
        <v>1021</v>
      </c>
      <c r="C323">
        <v>21</v>
      </c>
      <c r="D323" t="s">
        <v>17</v>
      </c>
      <c r="E323" t="s">
        <v>1022</v>
      </c>
      <c r="F323" t="s">
        <v>241</v>
      </c>
      <c r="G323" t="s">
        <v>13</v>
      </c>
      <c r="H323" t="s">
        <v>28</v>
      </c>
    </row>
    <row r="324" spans="1:8" x14ac:dyDescent="0.3">
      <c r="A324" t="s">
        <v>1023</v>
      </c>
      <c r="B324" t="s">
        <v>1024</v>
      </c>
      <c r="C324">
        <v>54</v>
      </c>
      <c r="D324" t="s">
        <v>10</v>
      </c>
      <c r="E324" t="s">
        <v>1025</v>
      </c>
      <c r="F324" t="s">
        <v>854</v>
      </c>
      <c r="G324" t="s">
        <v>13</v>
      </c>
      <c r="H324" t="s">
        <v>28</v>
      </c>
    </row>
    <row r="325" spans="1:8" x14ac:dyDescent="0.3">
      <c r="A325" t="s">
        <v>1026</v>
      </c>
      <c r="B325" t="s">
        <v>1027</v>
      </c>
      <c r="C325">
        <v>64</v>
      </c>
      <c r="D325" t="s">
        <v>17</v>
      </c>
      <c r="E325" t="s">
        <v>1028</v>
      </c>
      <c r="F325" t="s">
        <v>12</v>
      </c>
      <c r="G325" t="s">
        <v>13</v>
      </c>
      <c r="H325" t="s">
        <v>14</v>
      </c>
    </row>
    <row r="326" spans="1:8" x14ac:dyDescent="0.3">
      <c r="A326" t="s">
        <v>1029</v>
      </c>
      <c r="B326" t="s">
        <v>1030</v>
      </c>
      <c r="C326">
        <v>58</v>
      </c>
      <c r="D326" t="s">
        <v>10</v>
      </c>
      <c r="E326" t="s">
        <v>1031</v>
      </c>
      <c r="F326" t="s">
        <v>99</v>
      </c>
      <c r="G326" t="s">
        <v>13</v>
      </c>
      <c r="H326" t="s">
        <v>28</v>
      </c>
    </row>
    <row r="327" spans="1:8" x14ac:dyDescent="0.3">
      <c r="A327" t="s">
        <v>1032</v>
      </c>
      <c r="B327" t="s">
        <v>1033</v>
      </c>
      <c r="C327">
        <v>60</v>
      </c>
      <c r="D327" t="s">
        <v>10</v>
      </c>
      <c r="E327" t="s">
        <v>1034</v>
      </c>
      <c r="F327" t="s">
        <v>328</v>
      </c>
      <c r="G327" t="s">
        <v>13</v>
      </c>
      <c r="H327" t="s">
        <v>28</v>
      </c>
    </row>
    <row r="328" spans="1:8" x14ac:dyDescent="0.3">
      <c r="A328" t="s">
        <v>1035</v>
      </c>
      <c r="B328" t="s">
        <v>1036</v>
      </c>
      <c r="C328">
        <v>58</v>
      </c>
      <c r="D328" t="s">
        <v>17</v>
      </c>
      <c r="E328" t="s">
        <v>1037</v>
      </c>
      <c r="F328" t="s">
        <v>221</v>
      </c>
      <c r="G328" t="s">
        <v>13</v>
      </c>
      <c r="H328" t="s">
        <v>50</v>
      </c>
    </row>
    <row r="329" spans="1:8" x14ac:dyDescent="0.3">
      <c r="A329" t="s">
        <v>1038</v>
      </c>
      <c r="B329" t="s">
        <v>1039</v>
      </c>
      <c r="C329">
        <v>62</v>
      </c>
      <c r="D329" t="s">
        <v>17</v>
      </c>
      <c r="E329" t="s">
        <v>1040</v>
      </c>
      <c r="F329" t="s">
        <v>61</v>
      </c>
      <c r="G329" t="s">
        <v>13</v>
      </c>
      <c r="H329" t="s">
        <v>28</v>
      </c>
    </row>
    <row r="330" spans="1:8" x14ac:dyDescent="0.3">
      <c r="A330" t="s">
        <v>1041</v>
      </c>
      <c r="B330" t="s">
        <v>1042</v>
      </c>
      <c r="C330">
        <v>46</v>
      </c>
      <c r="D330" t="s">
        <v>10</v>
      </c>
      <c r="E330" t="s">
        <v>1043</v>
      </c>
      <c r="F330" t="s">
        <v>205</v>
      </c>
      <c r="G330" t="s">
        <v>13</v>
      </c>
      <c r="H330" t="s">
        <v>14</v>
      </c>
    </row>
    <row r="331" spans="1:8" x14ac:dyDescent="0.3">
      <c r="A331" t="s">
        <v>1044</v>
      </c>
      <c r="B331" t="s">
        <v>1045</v>
      </c>
      <c r="C331">
        <v>62</v>
      </c>
      <c r="D331" t="s">
        <v>17</v>
      </c>
      <c r="E331" t="s">
        <v>1046</v>
      </c>
      <c r="F331" t="s">
        <v>205</v>
      </c>
      <c r="G331" t="s">
        <v>13</v>
      </c>
      <c r="H331" t="s">
        <v>28</v>
      </c>
    </row>
    <row r="332" spans="1:8" x14ac:dyDescent="0.3">
      <c r="A332" t="s">
        <v>1047</v>
      </c>
      <c r="B332" t="s">
        <v>1048</v>
      </c>
      <c r="C332">
        <v>54</v>
      </c>
      <c r="D332" t="s">
        <v>10</v>
      </c>
      <c r="E332" t="s">
        <v>1049</v>
      </c>
      <c r="F332" t="s">
        <v>198</v>
      </c>
      <c r="G332" t="s">
        <v>13</v>
      </c>
      <c r="H332" t="s">
        <v>14</v>
      </c>
    </row>
    <row r="333" spans="1:8" x14ac:dyDescent="0.3">
      <c r="A333" t="s">
        <v>1050</v>
      </c>
      <c r="B333" t="s">
        <v>1051</v>
      </c>
      <c r="C333">
        <v>38</v>
      </c>
      <c r="D333" t="s">
        <v>17</v>
      </c>
      <c r="E333" t="s">
        <v>1052</v>
      </c>
      <c r="F333" t="s">
        <v>69</v>
      </c>
      <c r="G333" t="s">
        <v>13</v>
      </c>
      <c r="H333" t="s">
        <v>28</v>
      </c>
    </row>
    <row r="334" spans="1:8" x14ac:dyDescent="0.3">
      <c r="A334" t="s">
        <v>1053</v>
      </c>
      <c r="B334" t="s">
        <v>1054</v>
      </c>
      <c r="C334">
        <v>34</v>
      </c>
      <c r="D334" t="s">
        <v>17</v>
      </c>
      <c r="E334" t="s">
        <v>1055</v>
      </c>
      <c r="F334" t="s">
        <v>103</v>
      </c>
      <c r="G334" t="s">
        <v>13</v>
      </c>
      <c r="H334" t="s">
        <v>28</v>
      </c>
    </row>
    <row r="335" spans="1:8" x14ac:dyDescent="0.3">
      <c r="A335" t="s">
        <v>1056</v>
      </c>
      <c r="B335" t="s">
        <v>1057</v>
      </c>
      <c r="C335">
        <v>64</v>
      </c>
      <c r="D335" t="s">
        <v>17</v>
      </c>
      <c r="E335" t="s">
        <v>1058</v>
      </c>
      <c r="F335" t="s">
        <v>84</v>
      </c>
      <c r="G335" t="s">
        <v>13</v>
      </c>
      <c r="H335" t="s">
        <v>50</v>
      </c>
    </row>
    <row r="336" spans="1:8" x14ac:dyDescent="0.3">
      <c r="A336" t="s">
        <v>1059</v>
      </c>
      <c r="B336" t="s">
        <v>1060</v>
      </c>
      <c r="C336">
        <v>50</v>
      </c>
      <c r="D336" t="s">
        <v>17</v>
      </c>
      <c r="E336" t="s">
        <v>1061</v>
      </c>
      <c r="F336" t="s">
        <v>171</v>
      </c>
      <c r="G336" t="s">
        <v>13</v>
      </c>
      <c r="H336" t="s">
        <v>33</v>
      </c>
    </row>
    <row r="337" spans="1:8" x14ac:dyDescent="0.3">
      <c r="A337" t="s">
        <v>1062</v>
      </c>
      <c r="B337" t="s">
        <v>1063</v>
      </c>
      <c r="C337">
        <v>37</v>
      </c>
      <c r="D337" t="s">
        <v>10</v>
      </c>
      <c r="E337" t="s">
        <v>1064</v>
      </c>
      <c r="F337" t="s">
        <v>12</v>
      </c>
      <c r="G337" t="s">
        <v>13</v>
      </c>
      <c r="H337" t="s">
        <v>14</v>
      </c>
    </row>
    <row r="338" spans="1:8" x14ac:dyDescent="0.3">
      <c r="A338" t="s">
        <v>1065</v>
      </c>
      <c r="B338" t="s">
        <v>1066</v>
      </c>
      <c r="C338">
        <v>58</v>
      </c>
      <c r="D338" t="s">
        <v>17</v>
      </c>
      <c r="E338" t="s">
        <v>1067</v>
      </c>
      <c r="F338" t="s">
        <v>37</v>
      </c>
      <c r="G338" t="s">
        <v>13</v>
      </c>
      <c r="H338" t="s">
        <v>33</v>
      </c>
    </row>
    <row r="339" spans="1:8" x14ac:dyDescent="0.3">
      <c r="A339" t="s">
        <v>1068</v>
      </c>
      <c r="B339" t="s">
        <v>1069</v>
      </c>
      <c r="C339">
        <v>40</v>
      </c>
      <c r="D339" t="s">
        <v>17</v>
      </c>
      <c r="E339" t="s">
        <v>1070</v>
      </c>
      <c r="F339" t="s">
        <v>12</v>
      </c>
      <c r="G339" t="s">
        <v>13</v>
      </c>
      <c r="H339" t="s">
        <v>28</v>
      </c>
    </row>
    <row r="340" spans="1:8" x14ac:dyDescent="0.3">
      <c r="A340" t="s">
        <v>1071</v>
      </c>
      <c r="B340" t="s">
        <v>1072</v>
      </c>
      <c r="C340">
        <v>46</v>
      </c>
      <c r="D340" t="s">
        <v>17</v>
      </c>
      <c r="E340" t="s">
        <v>1073</v>
      </c>
      <c r="F340" t="s">
        <v>171</v>
      </c>
      <c r="G340" t="s">
        <v>13</v>
      </c>
      <c r="H340" t="s">
        <v>33</v>
      </c>
    </row>
    <row r="341" spans="1:8" x14ac:dyDescent="0.3">
      <c r="A341" t="s">
        <v>1074</v>
      </c>
      <c r="B341" t="s">
        <v>1075</v>
      </c>
      <c r="C341">
        <v>52</v>
      </c>
      <c r="D341" t="s">
        <v>17</v>
      </c>
      <c r="E341" t="s">
        <v>1076</v>
      </c>
      <c r="F341" t="s">
        <v>137</v>
      </c>
      <c r="G341" t="s">
        <v>13</v>
      </c>
      <c r="H341" t="s">
        <v>14</v>
      </c>
    </row>
    <row r="342" spans="1:8" x14ac:dyDescent="0.3">
      <c r="A342" t="s">
        <v>1077</v>
      </c>
      <c r="B342" t="s">
        <v>1078</v>
      </c>
      <c r="C342">
        <v>27</v>
      </c>
      <c r="D342" t="s">
        <v>10</v>
      </c>
      <c r="E342" t="s">
        <v>1079</v>
      </c>
      <c r="F342" t="s">
        <v>278</v>
      </c>
      <c r="G342" t="s">
        <v>13</v>
      </c>
      <c r="H342" t="s">
        <v>28</v>
      </c>
    </row>
    <row r="343" spans="1:8" x14ac:dyDescent="0.3">
      <c r="A343" t="s">
        <v>1080</v>
      </c>
      <c r="B343" t="s">
        <v>1081</v>
      </c>
      <c r="C343">
        <v>56</v>
      </c>
      <c r="D343" t="s">
        <v>17</v>
      </c>
      <c r="E343" t="s">
        <v>1082</v>
      </c>
      <c r="F343" t="s">
        <v>198</v>
      </c>
      <c r="G343" t="s">
        <v>13</v>
      </c>
      <c r="H343" t="s">
        <v>28</v>
      </c>
    </row>
    <row r="344" spans="1:8" x14ac:dyDescent="0.3">
      <c r="A344" t="s">
        <v>1083</v>
      </c>
      <c r="B344" t="s">
        <v>1084</v>
      </c>
      <c r="C344">
        <v>30</v>
      </c>
      <c r="D344" t="s">
        <v>17</v>
      </c>
      <c r="E344" t="s">
        <v>1085</v>
      </c>
      <c r="F344" t="s">
        <v>171</v>
      </c>
      <c r="G344" t="s">
        <v>13</v>
      </c>
      <c r="H344" t="s">
        <v>28</v>
      </c>
    </row>
    <row r="345" spans="1:8" x14ac:dyDescent="0.3">
      <c r="A345" t="s">
        <v>1086</v>
      </c>
      <c r="B345" t="s">
        <v>1087</v>
      </c>
      <c r="C345">
        <v>38</v>
      </c>
      <c r="D345" t="s">
        <v>10</v>
      </c>
      <c r="E345" t="s">
        <v>1088</v>
      </c>
      <c r="F345" t="s">
        <v>291</v>
      </c>
      <c r="G345" t="s">
        <v>13</v>
      </c>
      <c r="H345" t="s">
        <v>28</v>
      </c>
    </row>
    <row r="346" spans="1:8" x14ac:dyDescent="0.3">
      <c r="A346" t="s">
        <v>1089</v>
      </c>
      <c r="B346" t="s">
        <v>1090</v>
      </c>
      <c r="C346">
        <v>39</v>
      </c>
      <c r="D346" t="s">
        <v>10</v>
      </c>
      <c r="E346" t="s">
        <v>1091</v>
      </c>
      <c r="F346" t="s">
        <v>237</v>
      </c>
      <c r="G346" t="s">
        <v>13</v>
      </c>
      <c r="H346" t="s">
        <v>50</v>
      </c>
    </row>
    <row r="347" spans="1:8" x14ac:dyDescent="0.3">
      <c r="A347" t="s">
        <v>1092</v>
      </c>
      <c r="B347" t="s">
        <v>1093</v>
      </c>
      <c r="C347">
        <v>33</v>
      </c>
      <c r="D347" t="s">
        <v>10</v>
      </c>
      <c r="E347" t="s">
        <v>1094</v>
      </c>
      <c r="F347" t="s">
        <v>99</v>
      </c>
      <c r="G347" t="s">
        <v>13</v>
      </c>
      <c r="H347" t="s">
        <v>28</v>
      </c>
    </row>
    <row r="348" spans="1:8" x14ac:dyDescent="0.3">
      <c r="A348" t="s">
        <v>1095</v>
      </c>
      <c r="B348" t="s">
        <v>1096</v>
      </c>
      <c r="C348">
        <v>58</v>
      </c>
      <c r="D348" t="s">
        <v>17</v>
      </c>
      <c r="E348" t="s">
        <v>1097</v>
      </c>
      <c r="F348" t="s">
        <v>241</v>
      </c>
      <c r="G348" t="s">
        <v>13</v>
      </c>
      <c r="H348" t="s">
        <v>14</v>
      </c>
    </row>
    <row r="349" spans="1:8" x14ac:dyDescent="0.3">
      <c r="A349" t="s">
        <v>1098</v>
      </c>
      <c r="B349" t="s">
        <v>1099</v>
      </c>
      <c r="C349">
        <v>39</v>
      </c>
      <c r="D349" t="s">
        <v>17</v>
      </c>
      <c r="E349" t="s">
        <v>1100</v>
      </c>
      <c r="F349" t="s">
        <v>171</v>
      </c>
      <c r="G349" t="s">
        <v>13</v>
      </c>
      <c r="H349" t="s">
        <v>50</v>
      </c>
    </row>
    <row r="350" spans="1:8" x14ac:dyDescent="0.3">
      <c r="A350" t="s">
        <v>1101</v>
      </c>
      <c r="B350" t="s">
        <v>1102</v>
      </c>
      <c r="C350">
        <v>55</v>
      </c>
      <c r="D350" t="s">
        <v>10</v>
      </c>
      <c r="E350" t="s">
        <v>1103</v>
      </c>
      <c r="F350" t="s">
        <v>54</v>
      </c>
      <c r="G350" t="s">
        <v>13</v>
      </c>
      <c r="H350" t="s">
        <v>33</v>
      </c>
    </row>
    <row r="351" spans="1:8" x14ac:dyDescent="0.3">
      <c r="A351" t="s">
        <v>1104</v>
      </c>
      <c r="B351" t="s">
        <v>1105</v>
      </c>
      <c r="C351">
        <v>31</v>
      </c>
      <c r="D351" t="s">
        <v>10</v>
      </c>
      <c r="E351" t="s">
        <v>1106</v>
      </c>
      <c r="F351" t="s">
        <v>167</v>
      </c>
      <c r="G351" t="s">
        <v>13</v>
      </c>
      <c r="H351" t="s">
        <v>28</v>
      </c>
    </row>
    <row r="352" spans="1:8" x14ac:dyDescent="0.3">
      <c r="A352" t="s">
        <v>1107</v>
      </c>
      <c r="B352" t="s">
        <v>1108</v>
      </c>
      <c r="C352">
        <v>26</v>
      </c>
      <c r="D352" t="s">
        <v>10</v>
      </c>
      <c r="E352" t="s">
        <v>1109</v>
      </c>
      <c r="F352" t="s">
        <v>271</v>
      </c>
      <c r="G352" t="s">
        <v>13</v>
      </c>
      <c r="H352" t="s">
        <v>33</v>
      </c>
    </row>
    <row r="353" spans="1:8" x14ac:dyDescent="0.3">
      <c r="A353" t="s">
        <v>1110</v>
      </c>
      <c r="B353" t="s">
        <v>1111</v>
      </c>
      <c r="C353">
        <v>25</v>
      </c>
      <c r="D353" t="s">
        <v>17</v>
      </c>
      <c r="E353" t="s">
        <v>1112</v>
      </c>
      <c r="F353" t="s">
        <v>73</v>
      </c>
      <c r="G353" t="s">
        <v>13</v>
      </c>
      <c r="H353" t="s">
        <v>28</v>
      </c>
    </row>
    <row r="354" spans="1:8" x14ac:dyDescent="0.3">
      <c r="A354" t="s">
        <v>1113</v>
      </c>
      <c r="B354" t="s">
        <v>1114</v>
      </c>
      <c r="C354">
        <v>52</v>
      </c>
      <c r="D354" t="s">
        <v>17</v>
      </c>
      <c r="E354" t="s">
        <v>1115</v>
      </c>
      <c r="F354" t="s">
        <v>328</v>
      </c>
      <c r="G354" t="s">
        <v>13</v>
      </c>
      <c r="H354" t="s">
        <v>33</v>
      </c>
    </row>
    <row r="355" spans="1:8" x14ac:dyDescent="0.3">
      <c r="A355" t="s">
        <v>1116</v>
      </c>
      <c r="B355" t="s">
        <v>1117</v>
      </c>
      <c r="C355">
        <v>56</v>
      </c>
      <c r="D355" t="s">
        <v>17</v>
      </c>
      <c r="E355" t="s">
        <v>1118</v>
      </c>
      <c r="F355" t="s">
        <v>37</v>
      </c>
      <c r="G355" t="s">
        <v>13</v>
      </c>
      <c r="H355" t="s">
        <v>14</v>
      </c>
    </row>
    <row r="356" spans="1:8" x14ac:dyDescent="0.3">
      <c r="A356" t="s">
        <v>1119</v>
      </c>
      <c r="B356" t="s">
        <v>1120</v>
      </c>
      <c r="C356">
        <v>38</v>
      </c>
      <c r="D356" t="s">
        <v>10</v>
      </c>
      <c r="E356" t="s">
        <v>1121</v>
      </c>
      <c r="F356" t="s">
        <v>171</v>
      </c>
      <c r="G356" t="s">
        <v>13</v>
      </c>
      <c r="H356" t="s">
        <v>33</v>
      </c>
    </row>
    <row r="357" spans="1:8" x14ac:dyDescent="0.3">
      <c r="A357" t="s">
        <v>1122</v>
      </c>
      <c r="B357" t="s">
        <v>1123</v>
      </c>
      <c r="C357">
        <v>20</v>
      </c>
      <c r="D357" t="s">
        <v>10</v>
      </c>
      <c r="E357" t="s">
        <v>1124</v>
      </c>
      <c r="F357" t="s">
        <v>77</v>
      </c>
      <c r="G357" t="s">
        <v>13</v>
      </c>
      <c r="H357" t="s">
        <v>50</v>
      </c>
    </row>
    <row r="358" spans="1:8" x14ac:dyDescent="0.3">
      <c r="A358" t="s">
        <v>1125</v>
      </c>
      <c r="B358" t="s">
        <v>1126</v>
      </c>
      <c r="C358">
        <v>54</v>
      </c>
      <c r="D358" t="s">
        <v>10</v>
      </c>
      <c r="E358" t="s">
        <v>1127</v>
      </c>
      <c r="F358" t="s">
        <v>291</v>
      </c>
      <c r="G358" t="s">
        <v>13</v>
      </c>
      <c r="H358" t="s">
        <v>28</v>
      </c>
    </row>
    <row r="359" spans="1:8" x14ac:dyDescent="0.3">
      <c r="A359" t="s">
        <v>1128</v>
      </c>
      <c r="B359" t="s">
        <v>1129</v>
      </c>
      <c r="C359">
        <v>41</v>
      </c>
      <c r="D359" t="s">
        <v>10</v>
      </c>
      <c r="E359" t="s">
        <v>1130</v>
      </c>
      <c r="F359" t="s">
        <v>241</v>
      </c>
      <c r="G359" t="s">
        <v>13</v>
      </c>
      <c r="H359" t="s">
        <v>50</v>
      </c>
    </row>
    <row r="360" spans="1:8" x14ac:dyDescent="0.3">
      <c r="A360" t="s">
        <v>1131</v>
      </c>
      <c r="B360" t="s">
        <v>1132</v>
      </c>
      <c r="C360">
        <v>60</v>
      </c>
      <c r="D360" t="s">
        <v>17</v>
      </c>
      <c r="E360" t="s">
        <v>1133</v>
      </c>
      <c r="F360" t="s">
        <v>317</v>
      </c>
      <c r="G360" t="s">
        <v>13</v>
      </c>
      <c r="H360" t="s">
        <v>50</v>
      </c>
    </row>
    <row r="361" spans="1:8" x14ac:dyDescent="0.3">
      <c r="A361" t="s">
        <v>1134</v>
      </c>
      <c r="B361" t="s">
        <v>1135</v>
      </c>
      <c r="C361">
        <v>32</v>
      </c>
      <c r="D361" t="s">
        <v>10</v>
      </c>
      <c r="E361" t="s">
        <v>1136</v>
      </c>
      <c r="F361" t="s">
        <v>65</v>
      </c>
      <c r="G361" t="s">
        <v>13</v>
      </c>
      <c r="H361" t="s">
        <v>33</v>
      </c>
    </row>
    <row r="362" spans="1:8" x14ac:dyDescent="0.3">
      <c r="A362" t="s">
        <v>1137</v>
      </c>
      <c r="B362" t="s">
        <v>1138</v>
      </c>
      <c r="C362">
        <v>34</v>
      </c>
      <c r="D362" t="s">
        <v>10</v>
      </c>
      <c r="E362" t="s">
        <v>1139</v>
      </c>
      <c r="F362" t="s">
        <v>295</v>
      </c>
      <c r="G362" t="s">
        <v>13</v>
      </c>
      <c r="H362" t="s">
        <v>14</v>
      </c>
    </row>
    <row r="363" spans="1:8" x14ac:dyDescent="0.3">
      <c r="A363" t="s">
        <v>1140</v>
      </c>
      <c r="B363" t="s">
        <v>1141</v>
      </c>
      <c r="C363">
        <v>64</v>
      </c>
      <c r="D363" t="s">
        <v>10</v>
      </c>
      <c r="E363" t="s">
        <v>1142</v>
      </c>
      <c r="F363" t="s">
        <v>258</v>
      </c>
      <c r="G363" t="s">
        <v>13</v>
      </c>
      <c r="H363" t="s">
        <v>14</v>
      </c>
    </row>
    <row r="364" spans="1:8" x14ac:dyDescent="0.3">
      <c r="A364" t="s">
        <v>1143</v>
      </c>
      <c r="B364" t="s">
        <v>1144</v>
      </c>
      <c r="C364">
        <v>60</v>
      </c>
      <c r="D364" t="s">
        <v>10</v>
      </c>
      <c r="E364" t="s">
        <v>1145</v>
      </c>
      <c r="F364" t="s">
        <v>167</v>
      </c>
      <c r="G364" t="s">
        <v>13</v>
      </c>
      <c r="H364" t="s">
        <v>50</v>
      </c>
    </row>
    <row r="365" spans="1:8" x14ac:dyDescent="0.3">
      <c r="A365" t="s">
        <v>1146</v>
      </c>
      <c r="B365" t="s">
        <v>1147</v>
      </c>
      <c r="C365">
        <v>23</v>
      </c>
      <c r="D365" t="s">
        <v>10</v>
      </c>
      <c r="E365" t="s">
        <v>1148</v>
      </c>
      <c r="F365" t="s">
        <v>27</v>
      </c>
      <c r="G365" t="s">
        <v>13</v>
      </c>
      <c r="H365" t="s">
        <v>28</v>
      </c>
    </row>
    <row r="366" spans="1:8" x14ac:dyDescent="0.3">
      <c r="A366" t="s">
        <v>1149</v>
      </c>
      <c r="B366" t="s">
        <v>1150</v>
      </c>
      <c r="C366">
        <v>58</v>
      </c>
      <c r="D366" t="s">
        <v>10</v>
      </c>
      <c r="E366" t="s">
        <v>1151</v>
      </c>
      <c r="F366" t="s">
        <v>137</v>
      </c>
      <c r="G366" t="s">
        <v>13</v>
      </c>
      <c r="H366" t="s">
        <v>28</v>
      </c>
    </row>
    <row r="367" spans="1:8" x14ac:dyDescent="0.3">
      <c r="A367" t="s">
        <v>1152</v>
      </c>
      <c r="B367" t="s">
        <v>1153</v>
      </c>
      <c r="C367">
        <v>63</v>
      </c>
      <c r="D367" t="s">
        <v>17</v>
      </c>
      <c r="E367" t="s">
        <v>1154</v>
      </c>
      <c r="F367" t="s">
        <v>167</v>
      </c>
      <c r="G367" t="s">
        <v>13</v>
      </c>
      <c r="H367" t="s">
        <v>14</v>
      </c>
    </row>
    <row r="368" spans="1:8" x14ac:dyDescent="0.3">
      <c r="A368" t="s">
        <v>1155</v>
      </c>
      <c r="B368" t="s">
        <v>1156</v>
      </c>
      <c r="C368">
        <v>40</v>
      </c>
      <c r="D368" t="s">
        <v>17</v>
      </c>
      <c r="E368" t="s">
        <v>1157</v>
      </c>
      <c r="F368" t="s">
        <v>23</v>
      </c>
      <c r="G368" t="s">
        <v>13</v>
      </c>
      <c r="H368" t="s">
        <v>14</v>
      </c>
    </row>
    <row r="369" spans="1:8" x14ac:dyDescent="0.3">
      <c r="A369" t="s">
        <v>1158</v>
      </c>
      <c r="B369" t="s">
        <v>1159</v>
      </c>
      <c r="C369">
        <v>51</v>
      </c>
      <c r="D369" t="s">
        <v>10</v>
      </c>
      <c r="E369" t="s">
        <v>1160</v>
      </c>
      <c r="F369" t="s">
        <v>27</v>
      </c>
      <c r="G369" t="s">
        <v>13</v>
      </c>
      <c r="H369" t="s">
        <v>28</v>
      </c>
    </row>
    <row r="370" spans="1:8" x14ac:dyDescent="0.3">
      <c r="A370" t="s">
        <v>1161</v>
      </c>
      <c r="B370" t="s">
        <v>1162</v>
      </c>
      <c r="C370">
        <v>34</v>
      </c>
      <c r="D370" t="s">
        <v>17</v>
      </c>
      <c r="E370" t="s">
        <v>1163</v>
      </c>
      <c r="F370" t="s">
        <v>61</v>
      </c>
      <c r="G370" t="s">
        <v>13</v>
      </c>
      <c r="H370" t="s">
        <v>14</v>
      </c>
    </row>
    <row r="371" spans="1:8" x14ac:dyDescent="0.3">
      <c r="A371" t="s">
        <v>1164</v>
      </c>
      <c r="B371" t="s">
        <v>1165</v>
      </c>
      <c r="C371">
        <v>20</v>
      </c>
      <c r="D371" t="s">
        <v>17</v>
      </c>
      <c r="E371" t="s">
        <v>1166</v>
      </c>
      <c r="F371" t="s">
        <v>175</v>
      </c>
      <c r="G371" t="s">
        <v>13</v>
      </c>
      <c r="H371" t="s">
        <v>14</v>
      </c>
    </row>
    <row r="372" spans="1:8" x14ac:dyDescent="0.3">
      <c r="A372" t="s">
        <v>1167</v>
      </c>
      <c r="B372" t="s">
        <v>1168</v>
      </c>
      <c r="C372">
        <v>45</v>
      </c>
      <c r="D372" t="s">
        <v>10</v>
      </c>
      <c r="E372" t="s">
        <v>1169</v>
      </c>
      <c r="F372" t="s">
        <v>258</v>
      </c>
      <c r="G372" t="s">
        <v>13</v>
      </c>
      <c r="H372" t="s">
        <v>33</v>
      </c>
    </row>
    <row r="373" spans="1:8" x14ac:dyDescent="0.3">
      <c r="A373" t="s">
        <v>1170</v>
      </c>
      <c r="B373" t="s">
        <v>1171</v>
      </c>
      <c r="C373">
        <v>21</v>
      </c>
      <c r="D373" t="s">
        <v>17</v>
      </c>
      <c r="E373" t="s">
        <v>1172</v>
      </c>
      <c r="F373" t="s">
        <v>49</v>
      </c>
      <c r="G373" t="s">
        <v>13</v>
      </c>
      <c r="H373" t="s">
        <v>14</v>
      </c>
    </row>
    <row r="374" spans="1:8" x14ac:dyDescent="0.3">
      <c r="A374" t="s">
        <v>1173</v>
      </c>
      <c r="B374" t="s">
        <v>1174</v>
      </c>
      <c r="C374">
        <v>28</v>
      </c>
      <c r="D374" t="s">
        <v>10</v>
      </c>
      <c r="E374" t="s">
        <v>1175</v>
      </c>
      <c r="F374" t="s">
        <v>27</v>
      </c>
      <c r="G374" t="s">
        <v>13</v>
      </c>
      <c r="H374" t="s">
        <v>28</v>
      </c>
    </row>
    <row r="375" spans="1:8" x14ac:dyDescent="0.3">
      <c r="A375" t="s">
        <v>1176</v>
      </c>
      <c r="B375" t="s">
        <v>1177</v>
      </c>
      <c r="C375">
        <v>37</v>
      </c>
      <c r="D375" t="s">
        <v>17</v>
      </c>
      <c r="E375" t="s">
        <v>1178</v>
      </c>
      <c r="F375" t="s">
        <v>439</v>
      </c>
      <c r="G375" t="s">
        <v>13</v>
      </c>
      <c r="H375" t="s">
        <v>50</v>
      </c>
    </row>
    <row r="376" spans="1:8" x14ac:dyDescent="0.3">
      <c r="A376" t="s">
        <v>1179</v>
      </c>
      <c r="B376" t="s">
        <v>1180</v>
      </c>
      <c r="C376">
        <v>60</v>
      </c>
      <c r="D376" t="s">
        <v>10</v>
      </c>
      <c r="E376" t="s">
        <v>1181</v>
      </c>
      <c r="F376" t="s">
        <v>103</v>
      </c>
      <c r="G376" t="s">
        <v>13</v>
      </c>
      <c r="H376" t="s">
        <v>14</v>
      </c>
    </row>
    <row r="377" spans="1:8" x14ac:dyDescent="0.3">
      <c r="A377" t="s">
        <v>1182</v>
      </c>
      <c r="B377" t="s">
        <v>1183</v>
      </c>
      <c r="C377">
        <v>26</v>
      </c>
      <c r="D377" t="s">
        <v>10</v>
      </c>
      <c r="E377" t="s">
        <v>1184</v>
      </c>
      <c r="F377" t="s">
        <v>205</v>
      </c>
      <c r="G377" t="s">
        <v>13</v>
      </c>
      <c r="H377" t="s">
        <v>14</v>
      </c>
    </row>
    <row r="378" spans="1:8" x14ac:dyDescent="0.3">
      <c r="A378" t="s">
        <v>1185</v>
      </c>
      <c r="B378" t="s">
        <v>1186</v>
      </c>
      <c r="C378">
        <v>30</v>
      </c>
      <c r="D378" t="s">
        <v>10</v>
      </c>
      <c r="E378" t="s">
        <v>1187</v>
      </c>
      <c r="F378" t="s">
        <v>171</v>
      </c>
      <c r="G378" t="s">
        <v>13</v>
      </c>
      <c r="H378" t="s">
        <v>28</v>
      </c>
    </row>
    <row r="379" spans="1:8" x14ac:dyDescent="0.3">
      <c r="A379" t="s">
        <v>1188</v>
      </c>
      <c r="B379" t="s">
        <v>1189</v>
      </c>
      <c r="C379">
        <v>39</v>
      </c>
      <c r="D379" t="s">
        <v>17</v>
      </c>
      <c r="E379" t="s">
        <v>1190</v>
      </c>
      <c r="F379" t="s">
        <v>439</v>
      </c>
      <c r="G379" t="s">
        <v>13</v>
      </c>
      <c r="H379" t="s">
        <v>50</v>
      </c>
    </row>
    <row r="380" spans="1:8" x14ac:dyDescent="0.3">
      <c r="A380" t="s">
        <v>1191</v>
      </c>
      <c r="B380" t="s">
        <v>1192</v>
      </c>
      <c r="C380">
        <v>44</v>
      </c>
      <c r="D380" t="s">
        <v>17</v>
      </c>
      <c r="E380" t="s">
        <v>1193</v>
      </c>
      <c r="F380" t="s">
        <v>95</v>
      </c>
      <c r="G380" t="s">
        <v>13</v>
      </c>
      <c r="H380" t="s">
        <v>28</v>
      </c>
    </row>
    <row r="381" spans="1:8" x14ac:dyDescent="0.3">
      <c r="A381" t="s">
        <v>1194</v>
      </c>
      <c r="B381" t="s">
        <v>1195</v>
      </c>
      <c r="C381">
        <v>34</v>
      </c>
      <c r="D381" t="s">
        <v>17</v>
      </c>
      <c r="E381" t="s">
        <v>1196</v>
      </c>
      <c r="F381" t="s">
        <v>271</v>
      </c>
      <c r="G381" t="s">
        <v>13</v>
      </c>
      <c r="H381" t="s">
        <v>50</v>
      </c>
    </row>
    <row r="382" spans="1:8" x14ac:dyDescent="0.3">
      <c r="A382" t="s">
        <v>1197</v>
      </c>
      <c r="B382" t="s">
        <v>1198</v>
      </c>
      <c r="C382">
        <v>23</v>
      </c>
      <c r="D382" t="s">
        <v>10</v>
      </c>
      <c r="E382" t="s">
        <v>1199</v>
      </c>
      <c r="F382" t="s">
        <v>221</v>
      </c>
      <c r="G382" t="s">
        <v>13</v>
      </c>
      <c r="H382" t="s">
        <v>50</v>
      </c>
    </row>
    <row r="383" spans="1:8" x14ac:dyDescent="0.3">
      <c r="A383" t="s">
        <v>1200</v>
      </c>
      <c r="B383" t="s">
        <v>1201</v>
      </c>
      <c r="C383">
        <v>50</v>
      </c>
      <c r="D383" t="s">
        <v>10</v>
      </c>
      <c r="E383" t="s">
        <v>1202</v>
      </c>
      <c r="F383" t="s">
        <v>23</v>
      </c>
      <c r="G383" t="s">
        <v>13</v>
      </c>
      <c r="H383" t="s">
        <v>33</v>
      </c>
    </row>
    <row r="384" spans="1:8" x14ac:dyDescent="0.3">
      <c r="A384" t="s">
        <v>1203</v>
      </c>
      <c r="B384" t="s">
        <v>1204</v>
      </c>
      <c r="C384">
        <v>20</v>
      </c>
      <c r="D384" t="s">
        <v>17</v>
      </c>
      <c r="E384" t="s">
        <v>1205</v>
      </c>
      <c r="F384" t="s">
        <v>32</v>
      </c>
      <c r="G384" t="s">
        <v>13</v>
      </c>
      <c r="H384" t="s">
        <v>50</v>
      </c>
    </row>
    <row r="385" spans="1:8" x14ac:dyDescent="0.3">
      <c r="A385" t="s">
        <v>1206</v>
      </c>
      <c r="B385" t="s">
        <v>1207</v>
      </c>
      <c r="C385">
        <v>27</v>
      </c>
      <c r="D385" t="s">
        <v>17</v>
      </c>
      <c r="E385" t="s">
        <v>1208</v>
      </c>
      <c r="F385" t="s">
        <v>321</v>
      </c>
      <c r="G385" t="s">
        <v>13</v>
      </c>
      <c r="H385" t="s">
        <v>33</v>
      </c>
    </row>
    <row r="386" spans="1:8" x14ac:dyDescent="0.3">
      <c r="A386" t="s">
        <v>1209</v>
      </c>
      <c r="B386" t="s">
        <v>1210</v>
      </c>
      <c r="C386">
        <v>52</v>
      </c>
      <c r="D386" t="s">
        <v>17</v>
      </c>
      <c r="E386" t="s">
        <v>1211</v>
      </c>
      <c r="F386" t="s">
        <v>271</v>
      </c>
      <c r="G386" t="s">
        <v>13</v>
      </c>
      <c r="H386" t="s">
        <v>28</v>
      </c>
    </row>
    <row r="387" spans="1:8" x14ac:dyDescent="0.3">
      <c r="A387" t="s">
        <v>1212</v>
      </c>
      <c r="B387" t="s">
        <v>1213</v>
      </c>
      <c r="C387">
        <v>60</v>
      </c>
      <c r="D387" t="s">
        <v>10</v>
      </c>
      <c r="E387" t="s">
        <v>1214</v>
      </c>
      <c r="F387" t="s">
        <v>321</v>
      </c>
      <c r="G387" t="s">
        <v>13</v>
      </c>
      <c r="H387" t="s">
        <v>50</v>
      </c>
    </row>
    <row r="388" spans="1:8" x14ac:dyDescent="0.3">
      <c r="A388" t="s">
        <v>1215</v>
      </c>
      <c r="B388" t="s">
        <v>1216</v>
      </c>
      <c r="C388">
        <v>18</v>
      </c>
      <c r="D388" t="s">
        <v>17</v>
      </c>
      <c r="E388" t="s">
        <v>1217</v>
      </c>
      <c r="F388" t="s">
        <v>144</v>
      </c>
      <c r="G388" t="s">
        <v>13</v>
      </c>
      <c r="H388" t="s">
        <v>28</v>
      </c>
    </row>
    <row r="389" spans="1:8" x14ac:dyDescent="0.3">
      <c r="A389" t="s">
        <v>1218</v>
      </c>
      <c r="B389" t="s">
        <v>1219</v>
      </c>
      <c r="C389">
        <v>28</v>
      </c>
      <c r="D389" t="s">
        <v>17</v>
      </c>
      <c r="E389" t="s">
        <v>1220</v>
      </c>
      <c r="F389" t="s">
        <v>91</v>
      </c>
      <c r="G389" t="s">
        <v>13</v>
      </c>
      <c r="H389" t="s">
        <v>33</v>
      </c>
    </row>
    <row r="390" spans="1:8" x14ac:dyDescent="0.3">
      <c r="A390" t="s">
        <v>1221</v>
      </c>
      <c r="B390" t="s">
        <v>1222</v>
      </c>
      <c r="C390">
        <v>53</v>
      </c>
      <c r="D390" t="s">
        <v>10</v>
      </c>
      <c r="E390" t="s">
        <v>1223</v>
      </c>
      <c r="F390" t="s">
        <v>117</v>
      </c>
      <c r="G390" t="s">
        <v>13</v>
      </c>
      <c r="H390" t="s">
        <v>14</v>
      </c>
    </row>
    <row r="391" spans="1:8" x14ac:dyDescent="0.3">
      <c r="A391" t="s">
        <v>1224</v>
      </c>
      <c r="B391" t="s">
        <v>1225</v>
      </c>
      <c r="C391">
        <v>50</v>
      </c>
      <c r="D391" t="s">
        <v>10</v>
      </c>
      <c r="E391" t="s">
        <v>1226</v>
      </c>
      <c r="F391" t="s">
        <v>73</v>
      </c>
      <c r="G391" t="s">
        <v>13</v>
      </c>
      <c r="H391" t="s">
        <v>14</v>
      </c>
    </row>
    <row r="392" spans="1:8" x14ac:dyDescent="0.3">
      <c r="A392" t="s">
        <v>1227</v>
      </c>
      <c r="B392" t="s">
        <v>1228</v>
      </c>
      <c r="C392">
        <v>56</v>
      </c>
      <c r="D392" t="s">
        <v>10</v>
      </c>
      <c r="E392" t="s">
        <v>1229</v>
      </c>
      <c r="F392" t="s">
        <v>295</v>
      </c>
      <c r="G392" t="s">
        <v>13</v>
      </c>
      <c r="H392" t="s">
        <v>33</v>
      </c>
    </row>
    <row r="393" spans="1:8" x14ac:dyDescent="0.3">
      <c r="A393" t="s">
        <v>1230</v>
      </c>
      <c r="B393" t="s">
        <v>1231</v>
      </c>
      <c r="C393">
        <v>40</v>
      </c>
      <c r="D393" t="s">
        <v>17</v>
      </c>
      <c r="E393" t="s">
        <v>1232</v>
      </c>
      <c r="F393" t="s">
        <v>37</v>
      </c>
      <c r="G393" t="s">
        <v>13</v>
      </c>
      <c r="H393" t="s">
        <v>28</v>
      </c>
    </row>
    <row r="394" spans="1:8" x14ac:dyDescent="0.3">
      <c r="A394" t="s">
        <v>1233</v>
      </c>
      <c r="B394" t="s">
        <v>1234</v>
      </c>
      <c r="C394">
        <v>46</v>
      </c>
      <c r="D394" t="s">
        <v>10</v>
      </c>
      <c r="E394" t="s">
        <v>1235</v>
      </c>
      <c r="F394" t="s">
        <v>117</v>
      </c>
      <c r="G394" t="s">
        <v>13</v>
      </c>
      <c r="H394" t="s">
        <v>50</v>
      </c>
    </row>
    <row r="395" spans="1:8" x14ac:dyDescent="0.3">
      <c r="A395" t="s">
        <v>1236</v>
      </c>
      <c r="B395" t="s">
        <v>1237</v>
      </c>
      <c r="C395">
        <v>46</v>
      </c>
      <c r="D395" t="s">
        <v>10</v>
      </c>
      <c r="E395" t="s">
        <v>1238</v>
      </c>
      <c r="F395" t="s">
        <v>121</v>
      </c>
      <c r="G395" t="s">
        <v>13</v>
      </c>
      <c r="H395" t="s">
        <v>28</v>
      </c>
    </row>
    <row r="396" spans="1:8" x14ac:dyDescent="0.3">
      <c r="A396" t="s">
        <v>1239</v>
      </c>
      <c r="B396" t="s">
        <v>1240</v>
      </c>
      <c r="C396">
        <v>43</v>
      </c>
      <c r="D396" t="s">
        <v>17</v>
      </c>
      <c r="E396" t="s">
        <v>1241</v>
      </c>
      <c r="F396" t="s">
        <v>171</v>
      </c>
      <c r="G396" t="s">
        <v>13</v>
      </c>
      <c r="H396" t="s">
        <v>28</v>
      </c>
    </row>
    <row r="397" spans="1:8" x14ac:dyDescent="0.3">
      <c r="A397" t="s">
        <v>1242</v>
      </c>
      <c r="B397" t="s">
        <v>1243</v>
      </c>
      <c r="C397">
        <v>50</v>
      </c>
      <c r="D397" t="s">
        <v>10</v>
      </c>
      <c r="E397" t="s">
        <v>1244</v>
      </c>
      <c r="F397" t="s">
        <v>65</v>
      </c>
      <c r="G397" t="s">
        <v>13</v>
      </c>
      <c r="H397" t="s">
        <v>50</v>
      </c>
    </row>
    <row r="398" spans="1:8" x14ac:dyDescent="0.3">
      <c r="A398" t="s">
        <v>1245</v>
      </c>
      <c r="B398" t="s">
        <v>1246</v>
      </c>
      <c r="C398">
        <v>25</v>
      </c>
      <c r="D398" t="s">
        <v>17</v>
      </c>
      <c r="E398" t="s">
        <v>1247</v>
      </c>
      <c r="F398" t="s">
        <v>61</v>
      </c>
      <c r="G398" t="s">
        <v>13</v>
      </c>
      <c r="H398" t="s">
        <v>33</v>
      </c>
    </row>
    <row r="399" spans="1:8" x14ac:dyDescent="0.3">
      <c r="A399" t="s">
        <v>1248</v>
      </c>
      <c r="B399" t="s">
        <v>1249</v>
      </c>
      <c r="C399">
        <v>62</v>
      </c>
      <c r="D399" t="s">
        <v>17</v>
      </c>
      <c r="E399" t="s">
        <v>127</v>
      </c>
      <c r="F399" t="s">
        <v>65</v>
      </c>
      <c r="G399" t="s">
        <v>13</v>
      </c>
      <c r="H399" t="s">
        <v>14</v>
      </c>
    </row>
    <row r="400" spans="1:8" x14ac:dyDescent="0.3">
      <c r="A400" t="s">
        <v>1250</v>
      </c>
      <c r="B400" t="s">
        <v>1251</v>
      </c>
      <c r="C400">
        <v>54</v>
      </c>
      <c r="D400" t="s">
        <v>10</v>
      </c>
      <c r="E400" t="s">
        <v>1252</v>
      </c>
      <c r="F400" t="s">
        <v>49</v>
      </c>
      <c r="G400" t="s">
        <v>13</v>
      </c>
      <c r="H400" t="s">
        <v>28</v>
      </c>
    </row>
    <row r="401" spans="1:8" x14ac:dyDescent="0.3">
      <c r="A401" t="s">
        <v>1253</v>
      </c>
      <c r="B401" t="s">
        <v>1254</v>
      </c>
      <c r="C401">
        <v>27</v>
      </c>
      <c r="D401" t="s">
        <v>10</v>
      </c>
      <c r="E401" t="s">
        <v>1255</v>
      </c>
      <c r="F401" t="s">
        <v>439</v>
      </c>
      <c r="G401" t="s">
        <v>13</v>
      </c>
      <c r="H401" t="s">
        <v>28</v>
      </c>
    </row>
    <row r="402" spans="1:8" x14ac:dyDescent="0.3">
      <c r="A402" t="s">
        <v>1256</v>
      </c>
      <c r="B402" t="s">
        <v>1257</v>
      </c>
      <c r="C402">
        <v>57</v>
      </c>
      <c r="D402" t="s">
        <v>17</v>
      </c>
      <c r="E402" t="s">
        <v>1258</v>
      </c>
      <c r="F402" t="s">
        <v>99</v>
      </c>
      <c r="G402" t="s">
        <v>13</v>
      </c>
      <c r="H402" t="s">
        <v>14</v>
      </c>
    </row>
    <row r="403" spans="1:8" x14ac:dyDescent="0.3">
      <c r="A403" t="s">
        <v>1259</v>
      </c>
      <c r="B403" t="s">
        <v>1260</v>
      </c>
      <c r="C403">
        <v>51</v>
      </c>
      <c r="D403" t="s">
        <v>17</v>
      </c>
      <c r="E403" t="s">
        <v>1261</v>
      </c>
      <c r="F403" t="s">
        <v>188</v>
      </c>
      <c r="G403" t="s">
        <v>13</v>
      </c>
      <c r="H403" t="s">
        <v>14</v>
      </c>
    </row>
    <row r="404" spans="1:8" x14ac:dyDescent="0.3">
      <c r="A404" t="s">
        <v>1262</v>
      </c>
      <c r="B404" t="s">
        <v>1263</v>
      </c>
      <c r="C404">
        <v>31</v>
      </c>
      <c r="D404" t="s">
        <v>10</v>
      </c>
      <c r="E404" t="s">
        <v>83</v>
      </c>
      <c r="F404" t="s">
        <v>317</v>
      </c>
      <c r="G404" t="s">
        <v>13</v>
      </c>
      <c r="H404" t="s">
        <v>28</v>
      </c>
    </row>
    <row r="405" spans="1:8" x14ac:dyDescent="0.3">
      <c r="A405" t="s">
        <v>1264</v>
      </c>
      <c r="B405" t="s">
        <v>1265</v>
      </c>
      <c r="C405">
        <v>34</v>
      </c>
      <c r="D405" t="s">
        <v>10</v>
      </c>
      <c r="E405" t="s">
        <v>1266</v>
      </c>
      <c r="F405" t="s">
        <v>332</v>
      </c>
      <c r="G405" t="s">
        <v>13</v>
      </c>
      <c r="H405" t="s">
        <v>28</v>
      </c>
    </row>
    <row r="406" spans="1:8" x14ac:dyDescent="0.3">
      <c r="A406" t="s">
        <v>1267</v>
      </c>
      <c r="B406" t="s">
        <v>1268</v>
      </c>
      <c r="C406">
        <v>22</v>
      </c>
      <c r="D406" t="s">
        <v>17</v>
      </c>
      <c r="E406" t="s">
        <v>1269</v>
      </c>
      <c r="F406" t="s">
        <v>295</v>
      </c>
      <c r="G406" t="s">
        <v>13</v>
      </c>
      <c r="H406" t="s">
        <v>33</v>
      </c>
    </row>
    <row r="407" spans="1:8" x14ac:dyDescent="0.3">
      <c r="A407" t="s">
        <v>1270</v>
      </c>
      <c r="B407" t="s">
        <v>1271</v>
      </c>
      <c r="C407">
        <v>18</v>
      </c>
      <c r="D407" t="s">
        <v>17</v>
      </c>
      <c r="E407" t="s">
        <v>1272</v>
      </c>
      <c r="F407" t="s">
        <v>332</v>
      </c>
      <c r="G407" t="s">
        <v>13</v>
      </c>
      <c r="H407" t="s">
        <v>50</v>
      </c>
    </row>
    <row r="408" spans="1:8" x14ac:dyDescent="0.3">
      <c r="A408" t="s">
        <v>1273</v>
      </c>
      <c r="B408" t="s">
        <v>1274</v>
      </c>
      <c r="C408">
        <v>23</v>
      </c>
      <c r="D408" t="s">
        <v>17</v>
      </c>
      <c r="E408" t="s">
        <v>1275</v>
      </c>
      <c r="F408" t="s">
        <v>328</v>
      </c>
      <c r="G408" t="s">
        <v>13</v>
      </c>
      <c r="H408" t="s">
        <v>50</v>
      </c>
    </row>
    <row r="409" spans="1:8" x14ac:dyDescent="0.3">
      <c r="A409" t="s">
        <v>1276</v>
      </c>
      <c r="B409" t="s">
        <v>1277</v>
      </c>
      <c r="C409">
        <v>33</v>
      </c>
      <c r="D409" t="s">
        <v>10</v>
      </c>
      <c r="E409" t="s">
        <v>1278</v>
      </c>
      <c r="F409" t="s">
        <v>144</v>
      </c>
      <c r="G409" t="s">
        <v>13</v>
      </c>
      <c r="H409" t="s">
        <v>50</v>
      </c>
    </row>
    <row r="410" spans="1:8" x14ac:dyDescent="0.3">
      <c r="A410" t="s">
        <v>1279</v>
      </c>
      <c r="B410" t="s">
        <v>1280</v>
      </c>
      <c r="C410">
        <v>36</v>
      </c>
      <c r="D410" t="s">
        <v>10</v>
      </c>
      <c r="E410" t="s">
        <v>1281</v>
      </c>
      <c r="F410" t="s">
        <v>91</v>
      </c>
      <c r="G410" t="s">
        <v>13</v>
      </c>
      <c r="H410" t="s">
        <v>50</v>
      </c>
    </row>
    <row r="411" spans="1:8" x14ac:dyDescent="0.3">
      <c r="A411" t="s">
        <v>1282</v>
      </c>
      <c r="B411" t="s">
        <v>1283</v>
      </c>
      <c r="C411">
        <v>55</v>
      </c>
      <c r="D411" t="s">
        <v>10</v>
      </c>
      <c r="E411" t="s">
        <v>1284</v>
      </c>
      <c r="F411" t="s">
        <v>854</v>
      </c>
      <c r="G411" t="s">
        <v>13</v>
      </c>
      <c r="H411" t="s">
        <v>50</v>
      </c>
    </row>
    <row r="412" spans="1:8" x14ac:dyDescent="0.3">
      <c r="A412" t="s">
        <v>1285</v>
      </c>
      <c r="B412" t="s">
        <v>1286</v>
      </c>
      <c r="C412">
        <v>48</v>
      </c>
      <c r="D412" t="s">
        <v>17</v>
      </c>
      <c r="E412" t="s">
        <v>1287</v>
      </c>
      <c r="F412" t="s">
        <v>91</v>
      </c>
      <c r="G412" t="s">
        <v>13</v>
      </c>
      <c r="H412" t="s">
        <v>28</v>
      </c>
    </row>
    <row r="413" spans="1:8" x14ac:dyDescent="0.3">
      <c r="A413" t="s">
        <v>1288</v>
      </c>
      <c r="B413" t="s">
        <v>1289</v>
      </c>
      <c r="C413">
        <v>63</v>
      </c>
      <c r="D413" t="s">
        <v>10</v>
      </c>
      <c r="E413" t="s">
        <v>1290</v>
      </c>
      <c r="F413" t="s">
        <v>27</v>
      </c>
      <c r="G413" t="s">
        <v>13</v>
      </c>
      <c r="H413" t="s">
        <v>33</v>
      </c>
    </row>
    <row r="414" spans="1:8" x14ac:dyDescent="0.3">
      <c r="A414" t="s">
        <v>1291</v>
      </c>
      <c r="B414" t="s">
        <v>1292</v>
      </c>
      <c r="C414">
        <v>23</v>
      </c>
      <c r="D414" t="s">
        <v>17</v>
      </c>
      <c r="E414" t="s">
        <v>208</v>
      </c>
      <c r="F414" t="s">
        <v>160</v>
      </c>
      <c r="G414" t="s">
        <v>13</v>
      </c>
      <c r="H414" t="s">
        <v>50</v>
      </c>
    </row>
    <row r="415" spans="1:8" x14ac:dyDescent="0.3">
      <c r="A415" t="s">
        <v>1293</v>
      </c>
      <c r="B415" t="s">
        <v>1294</v>
      </c>
      <c r="C415">
        <v>59</v>
      </c>
      <c r="D415" t="s">
        <v>17</v>
      </c>
      <c r="E415" t="s">
        <v>1295</v>
      </c>
      <c r="F415" t="s">
        <v>110</v>
      </c>
      <c r="G415" t="s">
        <v>13</v>
      </c>
      <c r="H415" t="s">
        <v>28</v>
      </c>
    </row>
    <row r="416" spans="1:8" x14ac:dyDescent="0.3">
      <c r="A416" t="s">
        <v>1296</v>
      </c>
      <c r="B416" t="s">
        <v>1297</v>
      </c>
      <c r="C416">
        <v>35</v>
      </c>
      <c r="D416" t="s">
        <v>17</v>
      </c>
      <c r="E416" t="s">
        <v>1298</v>
      </c>
      <c r="F416" t="s">
        <v>117</v>
      </c>
      <c r="G416" t="s">
        <v>13</v>
      </c>
      <c r="H416" t="s">
        <v>50</v>
      </c>
    </row>
    <row r="417" spans="1:8" x14ac:dyDescent="0.3">
      <c r="A417" t="s">
        <v>1299</v>
      </c>
      <c r="B417" t="s">
        <v>1300</v>
      </c>
      <c r="C417">
        <v>26</v>
      </c>
      <c r="D417" t="s">
        <v>17</v>
      </c>
      <c r="E417" t="s">
        <v>1301</v>
      </c>
      <c r="F417" t="s">
        <v>167</v>
      </c>
      <c r="G417" t="s">
        <v>13</v>
      </c>
      <c r="H417" t="s">
        <v>33</v>
      </c>
    </row>
    <row r="418" spans="1:8" x14ac:dyDescent="0.3">
      <c r="A418" t="s">
        <v>1302</v>
      </c>
      <c r="B418" t="s">
        <v>1303</v>
      </c>
      <c r="C418">
        <v>46</v>
      </c>
      <c r="D418" t="s">
        <v>10</v>
      </c>
      <c r="E418" t="s">
        <v>1304</v>
      </c>
      <c r="F418" t="s">
        <v>328</v>
      </c>
      <c r="G418" t="s">
        <v>13</v>
      </c>
      <c r="H418" t="s">
        <v>14</v>
      </c>
    </row>
    <row r="419" spans="1:8" x14ac:dyDescent="0.3">
      <c r="A419" t="s">
        <v>1305</v>
      </c>
      <c r="B419" t="s">
        <v>1306</v>
      </c>
      <c r="C419">
        <v>64</v>
      </c>
      <c r="D419" t="s">
        <v>17</v>
      </c>
      <c r="E419" t="s">
        <v>1307</v>
      </c>
      <c r="F419" t="s">
        <v>12</v>
      </c>
      <c r="G419" t="s">
        <v>13</v>
      </c>
      <c r="H419" t="s">
        <v>28</v>
      </c>
    </row>
    <row r="420" spans="1:8" x14ac:dyDescent="0.3">
      <c r="A420" t="s">
        <v>1308</v>
      </c>
      <c r="B420" t="s">
        <v>1309</v>
      </c>
      <c r="C420">
        <v>60</v>
      </c>
      <c r="D420" t="s">
        <v>17</v>
      </c>
      <c r="E420" t="s">
        <v>1310</v>
      </c>
      <c r="F420" t="s">
        <v>49</v>
      </c>
      <c r="G420" t="s">
        <v>13</v>
      </c>
      <c r="H420" t="s">
        <v>33</v>
      </c>
    </row>
    <row r="421" spans="1:8" x14ac:dyDescent="0.3">
      <c r="A421" t="s">
        <v>1311</v>
      </c>
      <c r="B421" t="s">
        <v>1312</v>
      </c>
      <c r="C421">
        <v>33</v>
      </c>
      <c r="D421" t="s">
        <v>10</v>
      </c>
      <c r="E421" t="s">
        <v>1313</v>
      </c>
      <c r="F421" t="s">
        <v>317</v>
      </c>
      <c r="G421" t="s">
        <v>13</v>
      </c>
      <c r="H421" t="s">
        <v>50</v>
      </c>
    </row>
    <row r="422" spans="1:8" x14ac:dyDescent="0.3">
      <c r="A422" t="s">
        <v>1314</v>
      </c>
      <c r="B422" t="s">
        <v>1315</v>
      </c>
      <c r="C422">
        <v>60</v>
      </c>
      <c r="D422" t="s">
        <v>10</v>
      </c>
      <c r="E422" t="s">
        <v>1316</v>
      </c>
      <c r="F422" t="s">
        <v>12</v>
      </c>
      <c r="G422" t="s">
        <v>13</v>
      </c>
      <c r="H422" t="s">
        <v>28</v>
      </c>
    </row>
    <row r="423" spans="1:8" x14ac:dyDescent="0.3">
      <c r="A423" t="s">
        <v>1317</v>
      </c>
      <c r="B423" t="s">
        <v>1318</v>
      </c>
      <c r="C423">
        <v>45</v>
      </c>
      <c r="D423" t="s">
        <v>17</v>
      </c>
      <c r="E423" t="s">
        <v>1319</v>
      </c>
      <c r="F423" t="s">
        <v>77</v>
      </c>
      <c r="G423" t="s">
        <v>13</v>
      </c>
      <c r="H423" t="s">
        <v>14</v>
      </c>
    </row>
    <row r="424" spans="1:8" x14ac:dyDescent="0.3">
      <c r="A424" t="s">
        <v>1320</v>
      </c>
      <c r="B424" t="s">
        <v>1321</v>
      </c>
      <c r="C424">
        <v>42</v>
      </c>
      <c r="D424" t="s">
        <v>17</v>
      </c>
      <c r="E424" t="s">
        <v>1322</v>
      </c>
      <c r="F424" t="s">
        <v>65</v>
      </c>
      <c r="G424" t="s">
        <v>13</v>
      </c>
      <c r="H424" t="s">
        <v>14</v>
      </c>
    </row>
    <row r="425" spans="1:8" x14ac:dyDescent="0.3">
      <c r="A425" t="s">
        <v>1323</v>
      </c>
      <c r="B425" t="s">
        <v>1324</v>
      </c>
      <c r="C425">
        <v>35</v>
      </c>
      <c r="D425" t="s">
        <v>10</v>
      </c>
      <c r="E425" t="s">
        <v>1325</v>
      </c>
      <c r="F425" t="s">
        <v>65</v>
      </c>
      <c r="G425" t="s">
        <v>13</v>
      </c>
      <c r="H425" t="s">
        <v>33</v>
      </c>
    </row>
    <row r="426" spans="1:8" x14ac:dyDescent="0.3">
      <c r="A426" t="s">
        <v>1326</v>
      </c>
      <c r="B426" t="s">
        <v>1327</v>
      </c>
      <c r="C426">
        <v>53</v>
      </c>
      <c r="D426" t="s">
        <v>10</v>
      </c>
      <c r="E426" t="s">
        <v>1328</v>
      </c>
      <c r="F426" t="s">
        <v>12</v>
      </c>
      <c r="G426" t="s">
        <v>13</v>
      </c>
      <c r="H426" t="s">
        <v>28</v>
      </c>
    </row>
    <row r="427" spans="1:8" x14ac:dyDescent="0.3">
      <c r="A427" t="s">
        <v>1329</v>
      </c>
      <c r="B427" t="s">
        <v>1330</v>
      </c>
      <c r="C427">
        <v>40</v>
      </c>
      <c r="D427" t="s">
        <v>10</v>
      </c>
      <c r="E427" t="s">
        <v>1331</v>
      </c>
      <c r="F427" t="s">
        <v>121</v>
      </c>
      <c r="G427" t="s">
        <v>13</v>
      </c>
      <c r="H427" t="s">
        <v>28</v>
      </c>
    </row>
    <row r="428" spans="1:8" x14ac:dyDescent="0.3">
      <c r="A428" t="s">
        <v>1332</v>
      </c>
      <c r="B428" t="s">
        <v>1333</v>
      </c>
      <c r="C428">
        <v>28</v>
      </c>
      <c r="D428" t="s">
        <v>10</v>
      </c>
      <c r="E428" t="s">
        <v>1334</v>
      </c>
      <c r="F428" t="s">
        <v>12</v>
      </c>
      <c r="G428" t="s">
        <v>13</v>
      </c>
      <c r="H428" t="s">
        <v>14</v>
      </c>
    </row>
    <row r="429" spans="1:8" x14ac:dyDescent="0.3">
      <c r="A429" t="s">
        <v>1335</v>
      </c>
      <c r="B429" t="s">
        <v>1336</v>
      </c>
      <c r="C429">
        <v>18</v>
      </c>
      <c r="D429" t="s">
        <v>17</v>
      </c>
      <c r="E429" t="s">
        <v>1337</v>
      </c>
      <c r="F429" t="s">
        <v>439</v>
      </c>
      <c r="G429" t="s">
        <v>13</v>
      </c>
      <c r="H429" t="s">
        <v>50</v>
      </c>
    </row>
    <row r="430" spans="1:8" x14ac:dyDescent="0.3">
      <c r="A430" t="s">
        <v>1338</v>
      </c>
      <c r="B430" t="s">
        <v>1339</v>
      </c>
      <c r="C430">
        <v>27</v>
      </c>
      <c r="D430" t="s">
        <v>17</v>
      </c>
      <c r="E430" t="s">
        <v>1340</v>
      </c>
      <c r="F430" t="s">
        <v>332</v>
      </c>
      <c r="G430" t="s">
        <v>13</v>
      </c>
      <c r="H430" t="s">
        <v>28</v>
      </c>
    </row>
    <row r="431" spans="1:8" x14ac:dyDescent="0.3">
      <c r="A431" t="s">
        <v>1341</v>
      </c>
      <c r="B431" t="s">
        <v>1342</v>
      </c>
      <c r="C431">
        <v>43</v>
      </c>
      <c r="D431" t="s">
        <v>10</v>
      </c>
      <c r="E431" t="s">
        <v>1343</v>
      </c>
      <c r="F431" t="s">
        <v>110</v>
      </c>
      <c r="G431" t="s">
        <v>13</v>
      </c>
      <c r="H431" t="s">
        <v>14</v>
      </c>
    </row>
    <row r="432" spans="1:8" x14ac:dyDescent="0.3">
      <c r="A432" t="s">
        <v>1344</v>
      </c>
      <c r="B432" t="s">
        <v>1345</v>
      </c>
      <c r="C432">
        <v>36</v>
      </c>
      <c r="D432" t="s">
        <v>17</v>
      </c>
      <c r="E432" t="s">
        <v>1346</v>
      </c>
      <c r="F432" t="s">
        <v>91</v>
      </c>
      <c r="G432" t="s">
        <v>13</v>
      </c>
      <c r="H432" t="s">
        <v>50</v>
      </c>
    </row>
    <row r="433" spans="1:8" x14ac:dyDescent="0.3">
      <c r="A433" t="s">
        <v>1347</v>
      </c>
      <c r="B433" t="s">
        <v>1348</v>
      </c>
      <c r="C433">
        <v>27</v>
      </c>
      <c r="D433" t="s">
        <v>10</v>
      </c>
      <c r="E433" t="s">
        <v>1349</v>
      </c>
      <c r="F433" t="s">
        <v>32</v>
      </c>
      <c r="G433" t="s">
        <v>13</v>
      </c>
      <c r="H433" t="s">
        <v>14</v>
      </c>
    </row>
    <row r="434" spans="1:8" x14ac:dyDescent="0.3">
      <c r="A434" t="s">
        <v>1350</v>
      </c>
      <c r="B434" t="s">
        <v>1351</v>
      </c>
      <c r="C434">
        <v>37</v>
      </c>
      <c r="D434" t="s">
        <v>10</v>
      </c>
      <c r="E434" t="s">
        <v>1352</v>
      </c>
      <c r="F434" t="s">
        <v>91</v>
      </c>
      <c r="G434" t="s">
        <v>13</v>
      </c>
      <c r="H434" t="s">
        <v>28</v>
      </c>
    </row>
    <row r="435" spans="1:8" x14ac:dyDescent="0.3">
      <c r="A435" t="s">
        <v>1353</v>
      </c>
      <c r="B435" t="s">
        <v>1354</v>
      </c>
      <c r="C435">
        <v>51</v>
      </c>
      <c r="D435" t="s">
        <v>17</v>
      </c>
      <c r="E435" t="s">
        <v>1355</v>
      </c>
      <c r="F435" t="s">
        <v>61</v>
      </c>
      <c r="G435" t="s">
        <v>13</v>
      </c>
      <c r="H435" t="s">
        <v>33</v>
      </c>
    </row>
    <row r="436" spans="1:8" x14ac:dyDescent="0.3">
      <c r="A436" t="s">
        <v>1356</v>
      </c>
      <c r="B436" t="s">
        <v>1357</v>
      </c>
      <c r="C436">
        <v>48</v>
      </c>
      <c r="D436" t="s">
        <v>17</v>
      </c>
      <c r="E436" t="s">
        <v>1358</v>
      </c>
      <c r="F436" t="s">
        <v>258</v>
      </c>
      <c r="G436" t="s">
        <v>13</v>
      </c>
      <c r="H436" t="s">
        <v>50</v>
      </c>
    </row>
    <row r="437" spans="1:8" x14ac:dyDescent="0.3">
      <c r="A437" t="s">
        <v>1359</v>
      </c>
      <c r="B437" t="s">
        <v>1360</v>
      </c>
      <c r="C437">
        <v>37</v>
      </c>
      <c r="D437" t="s">
        <v>17</v>
      </c>
      <c r="E437" t="s">
        <v>1361</v>
      </c>
      <c r="F437" t="s">
        <v>110</v>
      </c>
      <c r="G437" t="s">
        <v>13</v>
      </c>
      <c r="H437" t="s">
        <v>33</v>
      </c>
    </row>
    <row r="438" spans="1:8" x14ac:dyDescent="0.3">
      <c r="A438" t="s">
        <v>1362</v>
      </c>
      <c r="B438" t="s">
        <v>1363</v>
      </c>
      <c r="C438">
        <v>61</v>
      </c>
      <c r="D438" t="s">
        <v>10</v>
      </c>
      <c r="E438" t="s">
        <v>1364</v>
      </c>
      <c r="F438" t="s">
        <v>41</v>
      </c>
      <c r="G438" t="s">
        <v>13</v>
      </c>
      <c r="H438" t="s">
        <v>50</v>
      </c>
    </row>
    <row r="439" spans="1:8" x14ac:dyDescent="0.3">
      <c r="A439" t="s">
        <v>1365</v>
      </c>
      <c r="B439" t="s">
        <v>1366</v>
      </c>
      <c r="C439">
        <v>47</v>
      </c>
      <c r="D439" t="s">
        <v>17</v>
      </c>
      <c r="E439" t="s">
        <v>603</v>
      </c>
      <c r="F439" t="s">
        <v>49</v>
      </c>
      <c r="G439" t="s">
        <v>13</v>
      </c>
      <c r="H439" t="s">
        <v>14</v>
      </c>
    </row>
    <row r="440" spans="1:8" x14ac:dyDescent="0.3">
      <c r="A440" t="s">
        <v>1367</v>
      </c>
      <c r="B440" t="s">
        <v>1368</v>
      </c>
      <c r="C440">
        <v>59</v>
      </c>
      <c r="D440" t="s">
        <v>17</v>
      </c>
      <c r="E440" t="s">
        <v>1369</v>
      </c>
      <c r="F440" t="s">
        <v>241</v>
      </c>
      <c r="G440" t="s">
        <v>13</v>
      </c>
      <c r="H440" t="s">
        <v>14</v>
      </c>
    </row>
    <row r="441" spans="1:8" x14ac:dyDescent="0.3">
      <c r="A441" t="s">
        <v>1370</v>
      </c>
      <c r="B441" t="s">
        <v>1371</v>
      </c>
      <c r="C441">
        <v>53</v>
      </c>
      <c r="D441" t="s">
        <v>10</v>
      </c>
      <c r="E441" t="s">
        <v>940</v>
      </c>
      <c r="F441" t="s">
        <v>160</v>
      </c>
      <c r="G441" t="s">
        <v>13</v>
      </c>
      <c r="H441" t="s">
        <v>33</v>
      </c>
    </row>
    <row r="442" spans="1:8" x14ac:dyDescent="0.3">
      <c r="A442" t="s">
        <v>1372</v>
      </c>
      <c r="B442" t="s">
        <v>1373</v>
      </c>
      <c r="C442">
        <v>60</v>
      </c>
      <c r="D442" t="s">
        <v>10</v>
      </c>
      <c r="E442" t="s">
        <v>1374</v>
      </c>
      <c r="F442" t="s">
        <v>19</v>
      </c>
      <c r="G442" t="s">
        <v>13</v>
      </c>
      <c r="H442" t="s">
        <v>33</v>
      </c>
    </row>
    <row r="443" spans="1:8" x14ac:dyDescent="0.3">
      <c r="A443" t="s">
        <v>1375</v>
      </c>
      <c r="B443" t="s">
        <v>1376</v>
      </c>
      <c r="C443">
        <v>31</v>
      </c>
      <c r="D443" t="s">
        <v>10</v>
      </c>
      <c r="E443" t="s">
        <v>1377</v>
      </c>
      <c r="F443" t="s">
        <v>328</v>
      </c>
      <c r="G443" t="s">
        <v>13</v>
      </c>
      <c r="H443" t="s">
        <v>33</v>
      </c>
    </row>
    <row r="444" spans="1:8" x14ac:dyDescent="0.3">
      <c r="A444" t="s">
        <v>1378</v>
      </c>
      <c r="B444" t="s">
        <v>1379</v>
      </c>
      <c r="C444">
        <v>42</v>
      </c>
      <c r="D444" t="s">
        <v>17</v>
      </c>
      <c r="E444" t="s">
        <v>1380</v>
      </c>
      <c r="F444" t="s">
        <v>37</v>
      </c>
      <c r="G444" t="s">
        <v>13</v>
      </c>
      <c r="H444" t="s">
        <v>28</v>
      </c>
    </row>
    <row r="445" spans="1:8" x14ac:dyDescent="0.3">
      <c r="A445" t="s">
        <v>1381</v>
      </c>
      <c r="B445" t="s">
        <v>1382</v>
      </c>
      <c r="C445">
        <v>51</v>
      </c>
      <c r="D445" t="s">
        <v>10</v>
      </c>
      <c r="E445" t="s">
        <v>1383</v>
      </c>
      <c r="F445" t="s">
        <v>363</v>
      </c>
      <c r="G445" t="s">
        <v>13</v>
      </c>
      <c r="H445" t="s">
        <v>33</v>
      </c>
    </row>
    <row r="446" spans="1:8" x14ac:dyDescent="0.3">
      <c r="A446" t="s">
        <v>1384</v>
      </c>
      <c r="B446" t="s">
        <v>1385</v>
      </c>
      <c r="C446">
        <v>19</v>
      </c>
      <c r="D446" t="s">
        <v>10</v>
      </c>
      <c r="E446" t="s">
        <v>1386</v>
      </c>
      <c r="F446" t="s">
        <v>854</v>
      </c>
      <c r="G446" t="s">
        <v>13</v>
      </c>
      <c r="H446" t="s">
        <v>50</v>
      </c>
    </row>
    <row r="447" spans="1:8" x14ac:dyDescent="0.3">
      <c r="A447" t="s">
        <v>1387</v>
      </c>
      <c r="B447" t="s">
        <v>1388</v>
      </c>
      <c r="C447">
        <v>41</v>
      </c>
      <c r="D447" t="s">
        <v>17</v>
      </c>
      <c r="E447" t="s">
        <v>1389</v>
      </c>
      <c r="F447" t="s">
        <v>291</v>
      </c>
      <c r="G447" t="s">
        <v>13</v>
      </c>
      <c r="H447" t="s">
        <v>14</v>
      </c>
    </row>
    <row r="448" spans="1:8" x14ac:dyDescent="0.3">
      <c r="A448" t="s">
        <v>1390</v>
      </c>
      <c r="B448" t="s">
        <v>1391</v>
      </c>
      <c r="C448">
        <v>35</v>
      </c>
      <c r="D448" t="s">
        <v>10</v>
      </c>
      <c r="E448" t="s">
        <v>1392</v>
      </c>
      <c r="F448" t="s">
        <v>99</v>
      </c>
      <c r="G448" t="s">
        <v>13</v>
      </c>
      <c r="H448" t="s">
        <v>33</v>
      </c>
    </row>
    <row r="449" spans="1:8" x14ac:dyDescent="0.3">
      <c r="A449" t="s">
        <v>1393</v>
      </c>
      <c r="B449" t="s">
        <v>1394</v>
      </c>
      <c r="C449">
        <v>45</v>
      </c>
      <c r="D449" t="s">
        <v>10</v>
      </c>
      <c r="E449" t="s">
        <v>1395</v>
      </c>
      <c r="F449" t="s">
        <v>12</v>
      </c>
      <c r="G449" t="s">
        <v>13</v>
      </c>
      <c r="H449" t="s">
        <v>50</v>
      </c>
    </row>
    <row r="450" spans="1:8" x14ac:dyDescent="0.3">
      <c r="A450" t="s">
        <v>1396</v>
      </c>
      <c r="B450" t="s">
        <v>1397</v>
      </c>
      <c r="C450">
        <v>64</v>
      </c>
      <c r="D450" t="s">
        <v>17</v>
      </c>
      <c r="E450" t="s">
        <v>1398</v>
      </c>
      <c r="F450" t="s">
        <v>854</v>
      </c>
      <c r="G450" t="s">
        <v>13</v>
      </c>
      <c r="H450" t="s">
        <v>28</v>
      </c>
    </row>
    <row r="451" spans="1:8" x14ac:dyDescent="0.3">
      <c r="A451" t="s">
        <v>1399</v>
      </c>
      <c r="B451" t="s">
        <v>1400</v>
      </c>
      <c r="C451">
        <v>29</v>
      </c>
      <c r="D451" t="s">
        <v>10</v>
      </c>
      <c r="E451" t="s">
        <v>1401</v>
      </c>
      <c r="F451" t="s">
        <v>27</v>
      </c>
      <c r="G451" t="s">
        <v>13</v>
      </c>
      <c r="H451" t="s">
        <v>28</v>
      </c>
    </row>
    <row r="452" spans="1:8" x14ac:dyDescent="0.3">
      <c r="A452" t="s">
        <v>1402</v>
      </c>
      <c r="B452" t="s">
        <v>1403</v>
      </c>
      <c r="C452">
        <v>59</v>
      </c>
      <c r="D452" t="s">
        <v>10</v>
      </c>
      <c r="E452" t="s">
        <v>1404</v>
      </c>
      <c r="F452" t="s">
        <v>73</v>
      </c>
      <c r="G452" t="s">
        <v>13</v>
      </c>
      <c r="H452" t="s">
        <v>28</v>
      </c>
    </row>
    <row r="453" spans="1:8" x14ac:dyDescent="0.3">
      <c r="A453" t="s">
        <v>1405</v>
      </c>
      <c r="B453" t="s">
        <v>1406</v>
      </c>
      <c r="C453">
        <v>46</v>
      </c>
      <c r="D453" t="s">
        <v>10</v>
      </c>
      <c r="E453" t="s">
        <v>570</v>
      </c>
      <c r="F453" t="s">
        <v>237</v>
      </c>
      <c r="G453" t="s">
        <v>13</v>
      </c>
      <c r="H453" t="s">
        <v>50</v>
      </c>
    </row>
    <row r="454" spans="1:8" x14ac:dyDescent="0.3">
      <c r="A454" t="s">
        <v>1407</v>
      </c>
      <c r="B454" t="s">
        <v>1408</v>
      </c>
      <c r="C454">
        <v>60</v>
      </c>
      <c r="D454" t="s">
        <v>17</v>
      </c>
      <c r="E454" t="s">
        <v>1409</v>
      </c>
      <c r="F454" t="s">
        <v>317</v>
      </c>
      <c r="G454" t="s">
        <v>13</v>
      </c>
      <c r="H454" t="s">
        <v>28</v>
      </c>
    </row>
    <row r="455" spans="1:8" x14ac:dyDescent="0.3">
      <c r="A455" t="s">
        <v>1410</v>
      </c>
      <c r="B455" t="s">
        <v>1411</v>
      </c>
      <c r="C455">
        <v>62</v>
      </c>
      <c r="D455" t="s">
        <v>17</v>
      </c>
      <c r="E455" t="s">
        <v>1412</v>
      </c>
      <c r="F455" t="s">
        <v>103</v>
      </c>
      <c r="G455" t="s">
        <v>13</v>
      </c>
      <c r="H455" t="s">
        <v>14</v>
      </c>
    </row>
    <row r="456" spans="1:8" x14ac:dyDescent="0.3">
      <c r="A456" t="s">
        <v>1413</v>
      </c>
      <c r="B456" t="s">
        <v>1414</v>
      </c>
      <c r="C456">
        <v>60</v>
      </c>
      <c r="D456" t="s">
        <v>10</v>
      </c>
      <c r="E456" t="s">
        <v>133</v>
      </c>
      <c r="F456" t="s">
        <v>99</v>
      </c>
      <c r="G456" t="s">
        <v>13</v>
      </c>
      <c r="H456" t="s">
        <v>50</v>
      </c>
    </row>
    <row r="457" spans="1:8" x14ac:dyDescent="0.3">
      <c r="A457" t="s">
        <v>1415</v>
      </c>
      <c r="B457" t="s">
        <v>1416</v>
      </c>
      <c r="C457">
        <v>54</v>
      </c>
      <c r="D457" t="s">
        <v>10</v>
      </c>
      <c r="E457" t="s">
        <v>1417</v>
      </c>
      <c r="F457" t="s">
        <v>198</v>
      </c>
      <c r="G457" t="s">
        <v>13</v>
      </c>
      <c r="H457" t="s">
        <v>50</v>
      </c>
    </row>
    <row r="458" spans="1:8" x14ac:dyDescent="0.3">
      <c r="A458" t="s">
        <v>1418</v>
      </c>
      <c r="B458" t="s">
        <v>1419</v>
      </c>
      <c r="C458">
        <v>59</v>
      </c>
      <c r="D458" t="s">
        <v>17</v>
      </c>
      <c r="E458" t="s">
        <v>1420</v>
      </c>
      <c r="F458" t="s">
        <v>295</v>
      </c>
      <c r="G458" t="s">
        <v>13</v>
      </c>
      <c r="H458" t="s">
        <v>50</v>
      </c>
    </row>
    <row r="459" spans="1:8" x14ac:dyDescent="0.3">
      <c r="A459" t="s">
        <v>1421</v>
      </c>
      <c r="B459" t="s">
        <v>1422</v>
      </c>
      <c r="C459">
        <v>59</v>
      </c>
      <c r="D459" t="s">
        <v>10</v>
      </c>
      <c r="E459" t="s">
        <v>1423</v>
      </c>
      <c r="F459" t="s">
        <v>594</v>
      </c>
      <c r="G459" t="s">
        <v>13</v>
      </c>
      <c r="H459" t="s">
        <v>14</v>
      </c>
    </row>
    <row r="460" spans="1:8" x14ac:dyDescent="0.3">
      <c r="A460" t="s">
        <v>1424</v>
      </c>
      <c r="B460" t="s">
        <v>1425</v>
      </c>
      <c r="C460">
        <v>62</v>
      </c>
      <c r="D460" t="s">
        <v>17</v>
      </c>
      <c r="E460" t="s">
        <v>1426</v>
      </c>
      <c r="F460" t="s">
        <v>54</v>
      </c>
      <c r="G460" t="s">
        <v>13</v>
      </c>
      <c r="H460" t="s">
        <v>33</v>
      </c>
    </row>
    <row r="461" spans="1:8" x14ac:dyDescent="0.3">
      <c r="A461" t="s">
        <v>1427</v>
      </c>
      <c r="B461" t="s">
        <v>685</v>
      </c>
      <c r="C461">
        <v>29</v>
      </c>
      <c r="D461" t="s">
        <v>17</v>
      </c>
      <c r="E461" t="s">
        <v>1428</v>
      </c>
      <c r="F461" t="s">
        <v>321</v>
      </c>
      <c r="G461" t="s">
        <v>13</v>
      </c>
      <c r="H461" t="s">
        <v>50</v>
      </c>
    </row>
    <row r="462" spans="1:8" x14ac:dyDescent="0.3">
      <c r="A462" t="s">
        <v>1429</v>
      </c>
      <c r="B462" t="s">
        <v>1430</v>
      </c>
      <c r="C462">
        <v>35</v>
      </c>
      <c r="D462" t="s">
        <v>10</v>
      </c>
      <c r="E462" t="s">
        <v>1431</v>
      </c>
      <c r="F462" t="s">
        <v>271</v>
      </c>
      <c r="G462" t="s">
        <v>13</v>
      </c>
      <c r="H462" t="s">
        <v>50</v>
      </c>
    </row>
    <row r="463" spans="1:8" x14ac:dyDescent="0.3">
      <c r="A463" t="s">
        <v>1432</v>
      </c>
      <c r="B463" t="s">
        <v>1433</v>
      </c>
      <c r="C463">
        <v>60</v>
      </c>
      <c r="D463" t="s">
        <v>17</v>
      </c>
      <c r="E463" t="s">
        <v>1434</v>
      </c>
      <c r="F463" t="s">
        <v>65</v>
      </c>
      <c r="G463" t="s">
        <v>13</v>
      </c>
      <c r="H463" t="s">
        <v>33</v>
      </c>
    </row>
    <row r="464" spans="1:8" x14ac:dyDescent="0.3">
      <c r="A464" t="s">
        <v>1435</v>
      </c>
      <c r="B464" t="s">
        <v>1436</v>
      </c>
      <c r="C464">
        <v>34</v>
      </c>
      <c r="D464" t="s">
        <v>17</v>
      </c>
      <c r="E464" t="s">
        <v>1437</v>
      </c>
      <c r="F464" t="s">
        <v>45</v>
      </c>
      <c r="G464" t="s">
        <v>13</v>
      </c>
      <c r="H464" t="s">
        <v>33</v>
      </c>
    </row>
    <row r="465" spans="1:8" x14ac:dyDescent="0.3">
      <c r="A465" t="s">
        <v>1438</v>
      </c>
      <c r="B465" t="s">
        <v>1439</v>
      </c>
      <c r="C465">
        <v>36</v>
      </c>
      <c r="D465" t="s">
        <v>17</v>
      </c>
      <c r="E465" t="s">
        <v>1440</v>
      </c>
      <c r="F465" t="s">
        <v>171</v>
      </c>
      <c r="G465" t="s">
        <v>13</v>
      </c>
      <c r="H465" t="s">
        <v>28</v>
      </c>
    </row>
    <row r="466" spans="1:8" x14ac:dyDescent="0.3">
      <c r="A466" t="s">
        <v>1441</v>
      </c>
      <c r="B466" t="s">
        <v>1442</v>
      </c>
      <c r="C466">
        <v>45</v>
      </c>
      <c r="D466" t="s">
        <v>17</v>
      </c>
      <c r="E466" t="s">
        <v>1443</v>
      </c>
      <c r="F466" t="s">
        <v>77</v>
      </c>
      <c r="G466" t="s">
        <v>13</v>
      </c>
      <c r="H466" t="s">
        <v>14</v>
      </c>
    </row>
    <row r="467" spans="1:8" x14ac:dyDescent="0.3">
      <c r="A467" t="s">
        <v>1444</v>
      </c>
      <c r="B467" t="s">
        <v>1445</v>
      </c>
      <c r="C467">
        <v>28</v>
      </c>
      <c r="D467" t="s">
        <v>17</v>
      </c>
      <c r="E467" t="s">
        <v>1446</v>
      </c>
      <c r="F467" t="s">
        <v>12</v>
      </c>
      <c r="G467" t="s">
        <v>13</v>
      </c>
      <c r="H467" t="s">
        <v>33</v>
      </c>
    </row>
    <row r="468" spans="1:8" x14ac:dyDescent="0.3">
      <c r="A468" t="s">
        <v>1447</v>
      </c>
      <c r="B468" t="s">
        <v>1448</v>
      </c>
      <c r="C468">
        <v>18</v>
      </c>
      <c r="D468" t="s">
        <v>10</v>
      </c>
      <c r="E468" t="s">
        <v>1449</v>
      </c>
      <c r="F468" t="s">
        <v>205</v>
      </c>
      <c r="G468" t="s">
        <v>13</v>
      </c>
      <c r="H468" t="s">
        <v>33</v>
      </c>
    </row>
    <row r="469" spans="1:8" x14ac:dyDescent="0.3">
      <c r="A469" t="s">
        <v>1450</v>
      </c>
      <c r="B469" t="s">
        <v>1451</v>
      </c>
      <c r="C469">
        <v>63</v>
      </c>
      <c r="D469" t="s">
        <v>17</v>
      </c>
      <c r="E469" t="s">
        <v>1452</v>
      </c>
      <c r="F469" t="s">
        <v>175</v>
      </c>
      <c r="G469" t="s">
        <v>13</v>
      </c>
      <c r="H469" t="s">
        <v>50</v>
      </c>
    </row>
    <row r="470" spans="1:8" x14ac:dyDescent="0.3">
      <c r="A470" t="s">
        <v>1453</v>
      </c>
      <c r="B470" t="s">
        <v>1454</v>
      </c>
      <c r="C470">
        <v>45</v>
      </c>
      <c r="D470" t="s">
        <v>10</v>
      </c>
      <c r="E470" t="s">
        <v>1455</v>
      </c>
      <c r="F470" t="s">
        <v>175</v>
      </c>
      <c r="G470" t="s">
        <v>13</v>
      </c>
      <c r="H470" t="s">
        <v>28</v>
      </c>
    </row>
    <row r="471" spans="1:8" x14ac:dyDescent="0.3">
      <c r="A471" t="s">
        <v>1456</v>
      </c>
      <c r="B471" t="s">
        <v>1457</v>
      </c>
      <c r="C471">
        <v>19</v>
      </c>
      <c r="D471" t="s">
        <v>10</v>
      </c>
      <c r="E471" t="s">
        <v>1458</v>
      </c>
      <c r="F471" t="s">
        <v>121</v>
      </c>
      <c r="G471" t="s">
        <v>13</v>
      </c>
      <c r="H471" t="s">
        <v>50</v>
      </c>
    </row>
    <row r="472" spans="1:8" x14ac:dyDescent="0.3">
      <c r="A472" t="s">
        <v>1459</v>
      </c>
      <c r="B472" t="s">
        <v>1460</v>
      </c>
      <c r="C472">
        <v>21</v>
      </c>
      <c r="D472" t="s">
        <v>17</v>
      </c>
      <c r="E472" t="s">
        <v>1461</v>
      </c>
      <c r="F472" t="s">
        <v>49</v>
      </c>
      <c r="G472" t="s">
        <v>13</v>
      </c>
      <c r="H472" t="s">
        <v>50</v>
      </c>
    </row>
    <row r="473" spans="1:8" x14ac:dyDescent="0.3">
      <c r="A473" t="s">
        <v>1462</v>
      </c>
      <c r="B473" t="s">
        <v>1463</v>
      </c>
      <c r="C473">
        <v>42</v>
      </c>
      <c r="D473" t="s">
        <v>10</v>
      </c>
      <c r="E473" t="s">
        <v>1464</v>
      </c>
      <c r="F473" t="s">
        <v>69</v>
      </c>
      <c r="G473" t="s">
        <v>13</v>
      </c>
      <c r="H473" t="s">
        <v>14</v>
      </c>
    </row>
    <row r="474" spans="1:8" x14ac:dyDescent="0.3">
      <c r="A474" t="s">
        <v>1465</v>
      </c>
      <c r="B474" t="s">
        <v>1466</v>
      </c>
      <c r="C474">
        <v>42</v>
      </c>
      <c r="D474" t="s">
        <v>10</v>
      </c>
      <c r="E474" t="s">
        <v>1467</v>
      </c>
      <c r="F474" t="s">
        <v>723</v>
      </c>
      <c r="G474" t="s">
        <v>13</v>
      </c>
      <c r="H474" t="s">
        <v>33</v>
      </c>
    </row>
    <row r="475" spans="1:8" x14ac:dyDescent="0.3">
      <c r="A475" t="s">
        <v>1468</v>
      </c>
      <c r="B475" t="s">
        <v>1469</v>
      </c>
      <c r="C475">
        <v>53</v>
      </c>
      <c r="D475" t="s">
        <v>10</v>
      </c>
      <c r="E475" t="s">
        <v>1470</v>
      </c>
      <c r="F475" t="s">
        <v>328</v>
      </c>
      <c r="G475" t="s">
        <v>13</v>
      </c>
      <c r="H475" t="s">
        <v>28</v>
      </c>
    </row>
    <row r="476" spans="1:8" x14ac:dyDescent="0.3">
      <c r="A476" t="s">
        <v>1471</v>
      </c>
      <c r="B476" t="s">
        <v>1472</v>
      </c>
      <c r="C476">
        <v>32</v>
      </c>
      <c r="D476" t="s">
        <v>17</v>
      </c>
      <c r="E476" t="s">
        <v>1473</v>
      </c>
      <c r="F476" t="s">
        <v>41</v>
      </c>
      <c r="G476" t="s">
        <v>13</v>
      </c>
      <c r="H476" t="s">
        <v>14</v>
      </c>
    </row>
    <row r="477" spans="1:8" x14ac:dyDescent="0.3">
      <c r="A477" t="s">
        <v>1474</v>
      </c>
      <c r="B477" t="s">
        <v>1475</v>
      </c>
      <c r="C477">
        <v>18</v>
      </c>
      <c r="D477" t="s">
        <v>17</v>
      </c>
      <c r="E477" t="s">
        <v>399</v>
      </c>
      <c r="F477" t="s">
        <v>175</v>
      </c>
      <c r="G477" t="s">
        <v>13</v>
      </c>
      <c r="H477" t="s">
        <v>14</v>
      </c>
    </row>
    <row r="478" spans="1:8" x14ac:dyDescent="0.3">
      <c r="A478" t="s">
        <v>1476</v>
      </c>
      <c r="B478" t="s">
        <v>1477</v>
      </c>
      <c r="C478">
        <v>33</v>
      </c>
      <c r="D478" t="s">
        <v>17</v>
      </c>
      <c r="E478" t="s">
        <v>1478</v>
      </c>
      <c r="F478" t="s">
        <v>99</v>
      </c>
      <c r="G478" t="s">
        <v>13</v>
      </c>
      <c r="H478" t="s">
        <v>50</v>
      </c>
    </row>
    <row r="479" spans="1:8" x14ac:dyDescent="0.3">
      <c r="A479" t="s">
        <v>1479</v>
      </c>
      <c r="B479" t="s">
        <v>1480</v>
      </c>
      <c r="C479">
        <v>41</v>
      </c>
      <c r="D479" t="s">
        <v>17</v>
      </c>
      <c r="E479" t="s">
        <v>1481</v>
      </c>
      <c r="F479" t="s">
        <v>65</v>
      </c>
      <c r="G479" t="s">
        <v>13</v>
      </c>
      <c r="H479" t="s">
        <v>14</v>
      </c>
    </row>
    <row r="480" spans="1:8" x14ac:dyDescent="0.3">
      <c r="A480" t="s">
        <v>1482</v>
      </c>
      <c r="B480" t="s">
        <v>1483</v>
      </c>
      <c r="C480">
        <v>59</v>
      </c>
      <c r="D480" t="s">
        <v>10</v>
      </c>
      <c r="E480" t="s">
        <v>1484</v>
      </c>
      <c r="F480" t="s">
        <v>41</v>
      </c>
      <c r="G480" t="s">
        <v>13</v>
      </c>
      <c r="H480" t="s">
        <v>50</v>
      </c>
    </row>
    <row r="481" spans="1:8" x14ac:dyDescent="0.3">
      <c r="A481" t="s">
        <v>1485</v>
      </c>
      <c r="B481" t="s">
        <v>1486</v>
      </c>
      <c r="C481">
        <v>40</v>
      </c>
      <c r="D481" t="s">
        <v>10</v>
      </c>
      <c r="E481" t="s">
        <v>1487</v>
      </c>
      <c r="F481" t="s">
        <v>45</v>
      </c>
      <c r="G481" t="s">
        <v>13</v>
      </c>
      <c r="H481" t="s">
        <v>28</v>
      </c>
    </row>
    <row r="482" spans="1:8" x14ac:dyDescent="0.3">
      <c r="A482" t="s">
        <v>1488</v>
      </c>
      <c r="B482" t="s">
        <v>1489</v>
      </c>
      <c r="C482">
        <v>33</v>
      </c>
      <c r="D482" t="s">
        <v>10</v>
      </c>
      <c r="E482" t="s">
        <v>1490</v>
      </c>
      <c r="F482" t="s">
        <v>254</v>
      </c>
      <c r="G482" t="s">
        <v>13</v>
      </c>
      <c r="H482" t="s">
        <v>28</v>
      </c>
    </row>
    <row r="483" spans="1:8" x14ac:dyDescent="0.3">
      <c r="A483" t="s">
        <v>1491</v>
      </c>
      <c r="B483" t="s">
        <v>1492</v>
      </c>
      <c r="C483">
        <v>21</v>
      </c>
      <c r="D483" t="s">
        <v>10</v>
      </c>
      <c r="E483" t="s">
        <v>1493</v>
      </c>
      <c r="F483" t="s">
        <v>84</v>
      </c>
      <c r="G483" t="s">
        <v>13</v>
      </c>
      <c r="H483" t="s">
        <v>50</v>
      </c>
    </row>
    <row r="484" spans="1:8" x14ac:dyDescent="0.3">
      <c r="A484" t="s">
        <v>1494</v>
      </c>
      <c r="B484" t="s">
        <v>1495</v>
      </c>
      <c r="C484">
        <v>26</v>
      </c>
      <c r="D484" t="s">
        <v>10</v>
      </c>
      <c r="E484" t="s">
        <v>1496</v>
      </c>
      <c r="F484" t="s">
        <v>594</v>
      </c>
      <c r="G484" t="s">
        <v>13</v>
      </c>
      <c r="H484" t="s">
        <v>14</v>
      </c>
    </row>
    <row r="485" spans="1:8" x14ac:dyDescent="0.3">
      <c r="A485" t="s">
        <v>1497</v>
      </c>
      <c r="B485" t="s">
        <v>1283</v>
      </c>
      <c r="C485">
        <v>48</v>
      </c>
      <c r="D485" t="s">
        <v>10</v>
      </c>
      <c r="E485" t="s">
        <v>1498</v>
      </c>
      <c r="F485" t="s">
        <v>188</v>
      </c>
      <c r="G485" t="s">
        <v>13</v>
      </c>
      <c r="H485" t="s">
        <v>50</v>
      </c>
    </row>
    <row r="486" spans="1:8" x14ac:dyDescent="0.3">
      <c r="A486" t="s">
        <v>1499</v>
      </c>
      <c r="B486" t="s">
        <v>1500</v>
      </c>
      <c r="C486">
        <v>32</v>
      </c>
      <c r="D486" t="s">
        <v>10</v>
      </c>
      <c r="E486" t="s">
        <v>1501</v>
      </c>
      <c r="F486" t="s">
        <v>723</v>
      </c>
      <c r="G486" t="s">
        <v>13</v>
      </c>
      <c r="H486" t="s">
        <v>28</v>
      </c>
    </row>
    <row r="487" spans="1:8" x14ac:dyDescent="0.3">
      <c r="A487" t="s">
        <v>1502</v>
      </c>
      <c r="B487" t="s">
        <v>1503</v>
      </c>
      <c r="C487">
        <v>46</v>
      </c>
      <c r="D487" t="s">
        <v>17</v>
      </c>
      <c r="E487" t="s">
        <v>1504</v>
      </c>
      <c r="F487" t="s">
        <v>291</v>
      </c>
      <c r="G487" t="s">
        <v>13</v>
      </c>
      <c r="H487" t="s">
        <v>28</v>
      </c>
    </row>
    <row r="488" spans="1:8" x14ac:dyDescent="0.3">
      <c r="A488" t="s">
        <v>1505</v>
      </c>
      <c r="B488" t="s">
        <v>1506</v>
      </c>
      <c r="C488">
        <v>22</v>
      </c>
      <c r="D488" t="s">
        <v>17</v>
      </c>
      <c r="E488" t="s">
        <v>1507</v>
      </c>
      <c r="F488" t="s">
        <v>175</v>
      </c>
      <c r="G488" t="s">
        <v>13</v>
      </c>
      <c r="H488" t="s">
        <v>28</v>
      </c>
    </row>
    <row r="489" spans="1:8" x14ac:dyDescent="0.3">
      <c r="A489" t="s">
        <v>1508</v>
      </c>
      <c r="B489" t="s">
        <v>1509</v>
      </c>
      <c r="C489">
        <v>36</v>
      </c>
      <c r="D489" t="s">
        <v>17</v>
      </c>
      <c r="E489" t="s">
        <v>1510</v>
      </c>
      <c r="F489" t="s">
        <v>121</v>
      </c>
      <c r="G489" t="s">
        <v>13</v>
      </c>
      <c r="H489" t="s">
        <v>14</v>
      </c>
    </row>
    <row r="490" spans="1:8" x14ac:dyDescent="0.3">
      <c r="A490" t="s">
        <v>1511</v>
      </c>
      <c r="B490" t="s">
        <v>1512</v>
      </c>
      <c r="C490">
        <v>23</v>
      </c>
      <c r="D490" t="s">
        <v>17</v>
      </c>
      <c r="E490" t="s">
        <v>1513</v>
      </c>
      <c r="F490" t="s">
        <v>32</v>
      </c>
      <c r="G490" t="s">
        <v>13</v>
      </c>
      <c r="H490" t="s">
        <v>14</v>
      </c>
    </row>
    <row r="491" spans="1:8" x14ac:dyDescent="0.3">
      <c r="A491" t="s">
        <v>1514</v>
      </c>
      <c r="B491" t="s">
        <v>1515</v>
      </c>
      <c r="C491">
        <v>42</v>
      </c>
      <c r="D491" t="s">
        <v>17</v>
      </c>
      <c r="E491" t="s">
        <v>1516</v>
      </c>
      <c r="F491" t="s">
        <v>258</v>
      </c>
      <c r="G491" t="s">
        <v>13</v>
      </c>
      <c r="H491" t="s">
        <v>33</v>
      </c>
    </row>
    <row r="492" spans="1:8" x14ac:dyDescent="0.3">
      <c r="A492" t="s">
        <v>1517</v>
      </c>
      <c r="B492" t="s">
        <v>1518</v>
      </c>
      <c r="C492">
        <v>23</v>
      </c>
      <c r="D492" t="s">
        <v>10</v>
      </c>
      <c r="E492" t="s">
        <v>1519</v>
      </c>
      <c r="F492" t="s">
        <v>144</v>
      </c>
      <c r="G492" t="s">
        <v>13</v>
      </c>
      <c r="H492" t="s">
        <v>14</v>
      </c>
    </row>
    <row r="493" spans="1:8" x14ac:dyDescent="0.3">
      <c r="A493" t="s">
        <v>1520</v>
      </c>
      <c r="B493" t="s">
        <v>1521</v>
      </c>
      <c r="C493">
        <v>52</v>
      </c>
      <c r="D493" t="s">
        <v>17</v>
      </c>
      <c r="E493" t="s">
        <v>1522</v>
      </c>
      <c r="F493" t="s">
        <v>41</v>
      </c>
      <c r="G493" t="s">
        <v>13</v>
      </c>
      <c r="H493" t="s">
        <v>50</v>
      </c>
    </row>
    <row r="494" spans="1:8" x14ac:dyDescent="0.3">
      <c r="A494" t="s">
        <v>1523</v>
      </c>
      <c r="B494" t="s">
        <v>1524</v>
      </c>
      <c r="C494">
        <v>59</v>
      </c>
      <c r="D494" t="s">
        <v>17</v>
      </c>
      <c r="E494" t="s">
        <v>1525</v>
      </c>
      <c r="F494" t="s">
        <v>254</v>
      </c>
      <c r="G494" t="s">
        <v>13</v>
      </c>
      <c r="H494" t="s">
        <v>14</v>
      </c>
    </row>
    <row r="495" spans="1:8" x14ac:dyDescent="0.3">
      <c r="A495" t="s">
        <v>1526</v>
      </c>
      <c r="B495" t="s">
        <v>1527</v>
      </c>
      <c r="C495">
        <v>28</v>
      </c>
      <c r="D495" t="s">
        <v>10</v>
      </c>
      <c r="E495" t="s">
        <v>87</v>
      </c>
      <c r="F495" t="s">
        <v>23</v>
      </c>
      <c r="G495" t="s">
        <v>13</v>
      </c>
      <c r="H495" t="s">
        <v>33</v>
      </c>
    </row>
    <row r="496" spans="1:8" x14ac:dyDescent="0.3">
      <c r="A496" t="s">
        <v>1528</v>
      </c>
      <c r="B496" t="s">
        <v>1529</v>
      </c>
      <c r="C496">
        <v>21</v>
      </c>
      <c r="D496" t="s">
        <v>10</v>
      </c>
      <c r="E496" t="s">
        <v>1530</v>
      </c>
      <c r="F496" t="s">
        <v>363</v>
      </c>
      <c r="G496" t="s">
        <v>13</v>
      </c>
      <c r="H496" t="s">
        <v>50</v>
      </c>
    </row>
    <row r="497" spans="1:8" x14ac:dyDescent="0.3">
      <c r="A497" t="s">
        <v>1531</v>
      </c>
      <c r="B497" t="s">
        <v>1532</v>
      </c>
      <c r="C497">
        <v>23</v>
      </c>
      <c r="D497" t="s">
        <v>17</v>
      </c>
      <c r="E497" t="s">
        <v>1533</v>
      </c>
      <c r="F497" t="s">
        <v>95</v>
      </c>
      <c r="G497" t="s">
        <v>13</v>
      </c>
      <c r="H497" t="s">
        <v>28</v>
      </c>
    </row>
    <row r="498" spans="1:8" x14ac:dyDescent="0.3">
      <c r="A498" t="s">
        <v>1534</v>
      </c>
      <c r="B498" t="s">
        <v>1535</v>
      </c>
      <c r="C498">
        <v>56</v>
      </c>
      <c r="D498" t="s">
        <v>10</v>
      </c>
      <c r="E498" t="s">
        <v>1536</v>
      </c>
      <c r="F498" t="s">
        <v>27</v>
      </c>
      <c r="G498" t="s">
        <v>13</v>
      </c>
      <c r="H498" t="s">
        <v>28</v>
      </c>
    </row>
    <row r="499" spans="1:8" x14ac:dyDescent="0.3">
      <c r="A499" t="s">
        <v>1537</v>
      </c>
      <c r="B499" t="s">
        <v>1538</v>
      </c>
      <c r="C499">
        <v>47</v>
      </c>
      <c r="D499" t="s">
        <v>17</v>
      </c>
      <c r="E499" t="s">
        <v>1539</v>
      </c>
      <c r="F499" t="s">
        <v>61</v>
      </c>
      <c r="G499" t="s">
        <v>13</v>
      </c>
      <c r="H499" t="s">
        <v>50</v>
      </c>
    </row>
    <row r="500" spans="1:8" x14ac:dyDescent="0.3">
      <c r="A500" t="s">
        <v>1540</v>
      </c>
      <c r="B500" t="s">
        <v>1541</v>
      </c>
      <c r="C500">
        <v>35</v>
      </c>
      <c r="D500" t="s">
        <v>10</v>
      </c>
      <c r="E500" t="s">
        <v>1542</v>
      </c>
      <c r="F500" t="s">
        <v>237</v>
      </c>
      <c r="G500" t="s">
        <v>13</v>
      </c>
      <c r="H500" t="s">
        <v>33</v>
      </c>
    </row>
    <row r="501" spans="1:8" x14ac:dyDescent="0.3">
      <c r="A501" t="s">
        <v>1543</v>
      </c>
      <c r="B501" t="s">
        <v>1544</v>
      </c>
      <c r="C501">
        <v>27</v>
      </c>
      <c r="D501" t="s">
        <v>17</v>
      </c>
      <c r="E501" t="s">
        <v>1545</v>
      </c>
      <c r="F501" t="s">
        <v>37</v>
      </c>
      <c r="G501" t="s">
        <v>13</v>
      </c>
      <c r="H5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3E9B2-880D-478B-9E6E-4501A204B8A3}">
  <dimension ref="A1:G101"/>
  <sheetViews>
    <sheetView workbookViewId="0">
      <selection activeCell="I14" sqref="I14"/>
    </sheetView>
  </sheetViews>
  <sheetFormatPr defaultRowHeight="14.4" x14ac:dyDescent="0.3"/>
  <cols>
    <col min="2" max="2" width="19.33203125" customWidth="1"/>
  </cols>
  <sheetData>
    <row r="1" spans="1:7" x14ac:dyDescent="0.3">
      <c r="A1" t="s">
        <v>1943</v>
      </c>
      <c r="B1" t="s">
        <v>2148</v>
      </c>
      <c r="C1" t="s">
        <v>2149</v>
      </c>
      <c r="D1" t="s">
        <v>2150</v>
      </c>
      <c r="E1" t="s">
        <v>2151</v>
      </c>
      <c r="F1" t="s">
        <v>2152</v>
      </c>
      <c r="G1" t="s">
        <v>2153</v>
      </c>
    </row>
    <row r="2" spans="1:7" x14ac:dyDescent="0.3">
      <c r="A2" t="s">
        <v>1546</v>
      </c>
      <c r="B2" t="s">
        <v>1547</v>
      </c>
      <c r="C2" t="s">
        <v>1548</v>
      </c>
      <c r="D2" t="s">
        <v>1549</v>
      </c>
      <c r="E2" t="s">
        <v>1550</v>
      </c>
      <c r="F2">
        <v>112.42</v>
      </c>
      <c r="G2">
        <v>416</v>
      </c>
    </row>
    <row r="3" spans="1:7" x14ac:dyDescent="0.3">
      <c r="A3" t="s">
        <v>1551</v>
      </c>
      <c r="B3" t="s">
        <v>1552</v>
      </c>
      <c r="C3" t="s">
        <v>1553</v>
      </c>
      <c r="D3" t="s">
        <v>1554</v>
      </c>
      <c r="E3" t="s">
        <v>1555</v>
      </c>
      <c r="F3">
        <v>342.56</v>
      </c>
      <c r="G3">
        <v>181</v>
      </c>
    </row>
    <row r="4" spans="1:7" x14ac:dyDescent="0.3">
      <c r="A4" t="s">
        <v>1556</v>
      </c>
      <c r="B4" t="s">
        <v>1557</v>
      </c>
      <c r="C4" t="s">
        <v>1553</v>
      </c>
      <c r="D4" t="s">
        <v>1558</v>
      </c>
      <c r="E4" t="s">
        <v>1559</v>
      </c>
      <c r="F4">
        <v>112.2</v>
      </c>
      <c r="G4">
        <v>352</v>
      </c>
    </row>
    <row r="5" spans="1:7" x14ac:dyDescent="0.3">
      <c r="A5" t="s">
        <v>1560</v>
      </c>
      <c r="B5" t="s">
        <v>1561</v>
      </c>
      <c r="C5" t="s">
        <v>1553</v>
      </c>
      <c r="D5" t="s">
        <v>1558</v>
      </c>
      <c r="E5" t="s">
        <v>1562</v>
      </c>
      <c r="F5">
        <v>364.67</v>
      </c>
      <c r="G5">
        <v>452</v>
      </c>
    </row>
    <row r="6" spans="1:7" x14ac:dyDescent="0.3">
      <c r="A6" t="s">
        <v>1563</v>
      </c>
      <c r="B6" t="s">
        <v>1564</v>
      </c>
      <c r="C6" t="s">
        <v>1553</v>
      </c>
      <c r="D6" t="s">
        <v>1565</v>
      </c>
      <c r="E6" t="s">
        <v>1566</v>
      </c>
      <c r="F6">
        <v>306.45999999999998</v>
      </c>
      <c r="G6">
        <v>487</v>
      </c>
    </row>
    <row r="7" spans="1:7" x14ac:dyDescent="0.3">
      <c r="A7" t="s">
        <v>1567</v>
      </c>
      <c r="B7" t="s">
        <v>1568</v>
      </c>
      <c r="C7" t="s">
        <v>1553</v>
      </c>
      <c r="D7" t="s">
        <v>1569</v>
      </c>
      <c r="E7" t="s">
        <v>1570</v>
      </c>
      <c r="F7">
        <v>261</v>
      </c>
      <c r="G7">
        <v>59</v>
      </c>
    </row>
    <row r="8" spans="1:7" x14ac:dyDescent="0.3">
      <c r="A8" t="s">
        <v>1571</v>
      </c>
      <c r="B8" t="s">
        <v>1572</v>
      </c>
      <c r="C8" t="s">
        <v>1573</v>
      </c>
      <c r="D8" t="s">
        <v>1574</v>
      </c>
      <c r="E8" t="s">
        <v>1575</v>
      </c>
      <c r="F8">
        <v>312.8</v>
      </c>
      <c r="G8">
        <v>350</v>
      </c>
    </row>
    <row r="9" spans="1:7" x14ac:dyDescent="0.3">
      <c r="A9" t="s">
        <v>1576</v>
      </c>
      <c r="B9" t="s">
        <v>1577</v>
      </c>
      <c r="C9" t="s">
        <v>1578</v>
      </c>
      <c r="D9" t="s">
        <v>1579</v>
      </c>
      <c r="E9" t="s">
        <v>1580</v>
      </c>
      <c r="F9">
        <v>218.86</v>
      </c>
      <c r="G9">
        <v>170</v>
      </c>
    </row>
    <row r="10" spans="1:7" x14ac:dyDescent="0.3">
      <c r="A10" t="s">
        <v>1581</v>
      </c>
      <c r="B10" t="s">
        <v>1582</v>
      </c>
      <c r="C10" t="s">
        <v>1548</v>
      </c>
      <c r="D10" t="s">
        <v>1583</v>
      </c>
      <c r="E10" t="s">
        <v>1584</v>
      </c>
      <c r="F10">
        <v>439.07</v>
      </c>
      <c r="G10">
        <v>142</v>
      </c>
    </row>
    <row r="11" spans="1:7" x14ac:dyDescent="0.3">
      <c r="A11" t="s">
        <v>1585</v>
      </c>
      <c r="B11" t="s">
        <v>1586</v>
      </c>
      <c r="C11" t="s">
        <v>1587</v>
      </c>
      <c r="D11" t="s">
        <v>1588</v>
      </c>
      <c r="E11" t="s">
        <v>1589</v>
      </c>
      <c r="F11">
        <v>495.72</v>
      </c>
      <c r="G11">
        <v>323</v>
      </c>
    </row>
    <row r="12" spans="1:7" x14ac:dyDescent="0.3">
      <c r="A12" t="s">
        <v>1590</v>
      </c>
      <c r="B12" t="s">
        <v>1591</v>
      </c>
      <c r="C12" t="s">
        <v>1578</v>
      </c>
      <c r="D12" t="s">
        <v>1592</v>
      </c>
      <c r="E12" t="s">
        <v>1593</v>
      </c>
      <c r="F12">
        <v>298.86</v>
      </c>
      <c r="G12">
        <v>308</v>
      </c>
    </row>
    <row r="13" spans="1:7" x14ac:dyDescent="0.3">
      <c r="A13" t="s">
        <v>1594</v>
      </c>
      <c r="B13" t="s">
        <v>1595</v>
      </c>
      <c r="C13" t="s">
        <v>1548</v>
      </c>
      <c r="D13" t="s">
        <v>1569</v>
      </c>
      <c r="E13" t="s">
        <v>1596</v>
      </c>
      <c r="F13">
        <v>449.4</v>
      </c>
      <c r="G13">
        <v>416</v>
      </c>
    </row>
    <row r="14" spans="1:7" x14ac:dyDescent="0.3">
      <c r="A14" t="s">
        <v>1597</v>
      </c>
      <c r="B14" t="s">
        <v>1598</v>
      </c>
      <c r="C14" t="s">
        <v>1573</v>
      </c>
      <c r="D14" t="s">
        <v>1599</v>
      </c>
      <c r="E14" t="s">
        <v>1600</v>
      </c>
      <c r="F14">
        <v>115.82</v>
      </c>
      <c r="G14">
        <v>460</v>
      </c>
    </row>
    <row r="15" spans="1:7" x14ac:dyDescent="0.3">
      <c r="A15" t="s">
        <v>1601</v>
      </c>
      <c r="B15" t="s">
        <v>1602</v>
      </c>
      <c r="C15" t="s">
        <v>1548</v>
      </c>
      <c r="D15" t="s">
        <v>1569</v>
      </c>
      <c r="E15" t="s">
        <v>1603</v>
      </c>
      <c r="F15">
        <v>242.23</v>
      </c>
      <c r="G15">
        <v>453</v>
      </c>
    </row>
    <row r="16" spans="1:7" x14ac:dyDescent="0.3">
      <c r="A16" t="s">
        <v>1604</v>
      </c>
      <c r="B16" t="s">
        <v>1605</v>
      </c>
      <c r="C16" t="s">
        <v>1578</v>
      </c>
      <c r="D16" t="s">
        <v>1606</v>
      </c>
      <c r="E16" t="s">
        <v>1607</v>
      </c>
      <c r="F16">
        <v>48.01</v>
      </c>
      <c r="G16">
        <v>439</v>
      </c>
    </row>
    <row r="17" spans="1:7" x14ac:dyDescent="0.3">
      <c r="A17" t="s">
        <v>1608</v>
      </c>
      <c r="B17" t="s">
        <v>1609</v>
      </c>
      <c r="C17" t="s">
        <v>1548</v>
      </c>
      <c r="D17" t="s">
        <v>1610</v>
      </c>
      <c r="E17" t="s">
        <v>1611</v>
      </c>
      <c r="F17">
        <v>465.34</v>
      </c>
      <c r="G17">
        <v>301</v>
      </c>
    </row>
    <row r="18" spans="1:7" x14ac:dyDescent="0.3">
      <c r="A18" t="s">
        <v>1612</v>
      </c>
      <c r="B18" t="s">
        <v>1613</v>
      </c>
      <c r="C18" t="s">
        <v>1573</v>
      </c>
      <c r="D18" t="s">
        <v>1614</v>
      </c>
      <c r="E18" t="s">
        <v>1615</v>
      </c>
      <c r="F18">
        <v>337.42</v>
      </c>
      <c r="G18">
        <v>256</v>
      </c>
    </row>
    <row r="19" spans="1:7" x14ac:dyDescent="0.3">
      <c r="A19" t="s">
        <v>1616</v>
      </c>
      <c r="B19" t="s">
        <v>1617</v>
      </c>
      <c r="C19" t="s">
        <v>1587</v>
      </c>
      <c r="D19" t="s">
        <v>1569</v>
      </c>
      <c r="E19" t="s">
        <v>1618</v>
      </c>
      <c r="F19">
        <v>144.53</v>
      </c>
      <c r="G19">
        <v>367</v>
      </c>
    </row>
    <row r="20" spans="1:7" x14ac:dyDescent="0.3">
      <c r="A20" t="s">
        <v>1619</v>
      </c>
      <c r="B20" t="s">
        <v>1620</v>
      </c>
      <c r="C20" t="s">
        <v>1553</v>
      </c>
      <c r="D20" t="s">
        <v>1565</v>
      </c>
      <c r="E20" t="s">
        <v>1621</v>
      </c>
      <c r="F20">
        <v>112.2</v>
      </c>
      <c r="G20">
        <v>343</v>
      </c>
    </row>
    <row r="21" spans="1:7" x14ac:dyDescent="0.3">
      <c r="A21" t="s">
        <v>1622</v>
      </c>
      <c r="B21" t="s">
        <v>1623</v>
      </c>
      <c r="C21" t="s">
        <v>1587</v>
      </c>
      <c r="D21" t="s">
        <v>1624</v>
      </c>
      <c r="E21" t="s">
        <v>1625</v>
      </c>
      <c r="F21">
        <v>21.34</v>
      </c>
      <c r="G21">
        <v>65</v>
      </c>
    </row>
    <row r="22" spans="1:7" x14ac:dyDescent="0.3">
      <c r="A22" t="s">
        <v>1626</v>
      </c>
      <c r="B22" t="s">
        <v>1627</v>
      </c>
      <c r="C22" t="s">
        <v>1587</v>
      </c>
      <c r="D22" t="s">
        <v>1569</v>
      </c>
      <c r="E22" t="s">
        <v>1628</v>
      </c>
      <c r="F22">
        <v>131.51</v>
      </c>
      <c r="G22">
        <v>416</v>
      </c>
    </row>
    <row r="23" spans="1:7" x14ac:dyDescent="0.3">
      <c r="A23" t="s">
        <v>1629</v>
      </c>
      <c r="B23" t="s">
        <v>1630</v>
      </c>
      <c r="C23" t="s">
        <v>1578</v>
      </c>
      <c r="D23" t="s">
        <v>1631</v>
      </c>
      <c r="E23" t="s">
        <v>1632</v>
      </c>
      <c r="F23">
        <v>123.46</v>
      </c>
      <c r="G23">
        <v>76</v>
      </c>
    </row>
    <row r="24" spans="1:7" x14ac:dyDescent="0.3">
      <c r="A24" t="s">
        <v>1633</v>
      </c>
      <c r="B24" t="s">
        <v>1634</v>
      </c>
      <c r="C24" t="s">
        <v>1587</v>
      </c>
      <c r="D24" t="s">
        <v>1624</v>
      </c>
      <c r="E24" t="s">
        <v>1635</v>
      </c>
      <c r="F24">
        <v>484.62</v>
      </c>
      <c r="G24">
        <v>432</v>
      </c>
    </row>
    <row r="25" spans="1:7" x14ac:dyDescent="0.3">
      <c r="A25" t="s">
        <v>1636</v>
      </c>
      <c r="B25" t="s">
        <v>1637</v>
      </c>
      <c r="C25" t="s">
        <v>1553</v>
      </c>
      <c r="D25" t="s">
        <v>1554</v>
      </c>
      <c r="E25" t="s">
        <v>1638</v>
      </c>
      <c r="F25">
        <v>112.2</v>
      </c>
      <c r="G25">
        <v>360</v>
      </c>
    </row>
    <row r="26" spans="1:7" x14ac:dyDescent="0.3">
      <c r="A26" t="s">
        <v>1639</v>
      </c>
      <c r="B26" t="s">
        <v>1640</v>
      </c>
      <c r="C26" t="s">
        <v>1587</v>
      </c>
      <c r="D26" t="s">
        <v>1641</v>
      </c>
      <c r="E26" t="s">
        <v>1642</v>
      </c>
      <c r="F26">
        <v>166.06</v>
      </c>
      <c r="G26">
        <v>340</v>
      </c>
    </row>
    <row r="27" spans="1:7" x14ac:dyDescent="0.3">
      <c r="A27" t="s">
        <v>1643</v>
      </c>
      <c r="B27" t="s">
        <v>1644</v>
      </c>
      <c r="C27" t="s">
        <v>1553</v>
      </c>
      <c r="D27" t="s">
        <v>1569</v>
      </c>
      <c r="E27" t="s">
        <v>1645</v>
      </c>
      <c r="F27">
        <v>174.02</v>
      </c>
      <c r="G27">
        <v>268</v>
      </c>
    </row>
    <row r="28" spans="1:7" x14ac:dyDescent="0.3">
      <c r="A28" t="s">
        <v>1646</v>
      </c>
      <c r="B28" t="s">
        <v>1647</v>
      </c>
      <c r="C28" t="s">
        <v>1548</v>
      </c>
      <c r="D28" t="s">
        <v>1583</v>
      </c>
      <c r="E28" t="s">
        <v>1648</v>
      </c>
      <c r="F28">
        <v>322.41000000000003</v>
      </c>
      <c r="G28">
        <v>213</v>
      </c>
    </row>
    <row r="29" spans="1:7" x14ac:dyDescent="0.3">
      <c r="A29" t="s">
        <v>1649</v>
      </c>
      <c r="B29" t="s">
        <v>1650</v>
      </c>
      <c r="C29" t="s">
        <v>1578</v>
      </c>
      <c r="D29" t="s">
        <v>1606</v>
      </c>
      <c r="E29" t="s">
        <v>1651</v>
      </c>
      <c r="F29">
        <v>112.2</v>
      </c>
      <c r="G29">
        <v>378</v>
      </c>
    </row>
    <row r="30" spans="1:7" x14ac:dyDescent="0.3">
      <c r="A30" t="s">
        <v>1652</v>
      </c>
      <c r="B30" t="s">
        <v>1653</v>
      </c>
      <c r="C30" t="s">
        <v>1587</v>
      </c>
      <c r="D30" t="s">
        <v>1569</v>
      </c>
      <c r="E30" t="s">
        <v>1654</v>
      </c>
      <c r="F30">
        <v>38.76</v>
      </c>
      <c r="G30">
        <v>137</v>
      </c>
    </row>
    <row r="31" spans="1:7" x14ac:dyDescent="0.3">
      <c r="A31" t="s">
        <v>1655</v>
      </c>
      <c r="B31" t="s">
        <v>1656</v>
      </c>
      <c r="C31" t="s">
        <v>1578</v>
      </c>
      <c r="D31" t="s">
        <v>1606</v>
      </c>
      <c r="E31" t="s">
        <v>1657</v>
      </c>
      <c r="F31">
        <v>218.48</v>
      </c>
      <c r="G31">
        <v>276</v>
      </c>
    </row>
    <row r="32" spans="1:7" x14ac:dyDescent="0.3">
      <c r="A32" t="s">
        <v>1658</v>
      </c>
      <c r="B32" t="s">
        <v>1659</v>
      </c>
      <c r="C32" t="s">
        <v>1578</v>
      </c>
      <c r="D32" t="s">
        <v>1592</v>
      </c>
      <c r="E32" t="s">
        <v>1660</v>
      </c>
      <c r="F32">
        <v>19.52</v>
      </c>
      <c r="G32">
        <v>57</v>
      </c>
    </row>
    <row r="33" spans="1:7" x14ac:dyDescent="0.3">
      <c r="A33" t="s">
        <v>1661</v>
      </c>
      <c r="B33" t="s">
        <v>1662</v>
      </c>
      <c r="C33" t="s">
        <v>1587</v>
      </c>
      <c r="D33" t="s">
        <v>1663</v>
      </c>
      <c r="E33" t="s">
        <v>1664</v>
      </c>
      <c r="F33">
        <v>204.39</v>
      </c>
      <c r="G33">
        <v>281</v>
      </c>
    </row>
    <row r="34" spans="1:7" x14ac:dyDescent="0.3">
      <c r="A34" t="s">
        <v>1665</v>
      </c>
      <c r="B34" t="s">
        <v>1666</v>
      </c>
      <c r="C34" t="s">
        <v>1573</v>
      </c>
      <c r="D34" t="s">
        <v>1574</v>
      </c>
      <c r="E34" t="s">
        <v>1667</v>
      </c>
      <c r="F34">
        <v>283.83</v>
      </c>
      <c r="G34">
        <v>244</v>
      </c>
    </row>
    <row r="35" spans="1:7" x14ac:dyDescent="0.3">
      <c r="A35" t="s">
        <v>1668</v>
      </c>
      <c r="B35" t="s">
        <v>1669</v>
      </c>
      <c r="C35" t="s">
        <v>1578</v>
      </c>
      <c r="D35" t="s">
        <v>1606</v>
      </c>
      <c r="E35" t="s">
        <v>1670</v>
      </c>
      <c r="F35">
        <v>179.77</v>
      </c>
      <c r="G35">
        <v>305</v>
      </c>
    </row>
    <row r="36" spans="1:7" x14ac:dyDescent="0.3">
      <c r="A36" t="s">
        <v>1671</v>
      </c>
      <c r="B36" t="s">
        <v>1672</v>
      </c>
      <c r="C36" t="s">
        <v>1548</v>
      </c>
      <c r="D36" t="s">
        <v>1549</v>
      </c>
      <c r="E36" t="s">
        <v>1673</v>
      </c>
      <c r="F36">
        <v>419.28</v>
      </c>
      <c r="G36">
        <v>86</v>
      </c>
    </row>
    <row r="37" spans="1:7" x14ac:dyDescent="0.3">
      <c r="A37" t="s">
        <v>1674</v>
      </c>
      <c r="B37" t="s">
        <v>1675</v>
      </c>
      <c r="C37" t="s">
        <v>1578</v>
      </c>
      <c r="D37" t="s">
        <v>1579</v>
      </c>
      <c r="E37" t="s">
        <v>1676</v>
      </c>
      <c r="F37">
        <v>382.22</v>
      </c>
      <c r="G37">
        <v>329</v>
      </c>
    </row>
    <row r="38" spans="1:7" x14ac:dyDescent="0.3">
      <c r="A38" t="s">
        <v>1677</v>
      </c>
      <c r="B38" t="s">
        <v>1678</v>
      </c>
      <c r="C38" t="s">
        <v>1553</v>
      </c>
      <c r="D38" t="s">
        <v>1554</v>
      </c>
      <c r="E38" t="s">
        <v>1679</v>
      </c>
      <c r="F38">
        <v>223.43</v>
      </c>
      <c r="G38">
        <v>154</v>
      </c>
    </row>
    <row r="39" spans="1:7" x14ac:dyDescent="0.3">
      <c r="A39" t="s">
        <v>1680</v>
      </c>
      <c r="B39" t="s">
        <v>1681</v>
      </c>
      <c r="C39" t="s">
        <v>1553</v>
      </c>
      <c r="D39" t="s">
        <v>1682</v>
      </c>
      <c r="E39" t="s">
        <v>1683</v>
      </c>
      <c r="F39">
        <v>353.47</v>
      </c>
      <c r="G39">
        <v>214</v>
      </c>
    </row>
    <row r="40" spans="1:7" x14ac:dyDescent="0.3">
      <c r="A40" t="s">
        <v>1684</v>
      </c>
      <c r="B40" t="s">
        <v>1685</v>
      </c>
      <c r="C40" t="s">
        <v>1587</v>
      </c>
      <c r="D40" t="s">
        <v>1641</v>
      </c>
      <c r="E40" t="s">
        <v>1686</v>
      </c>
      <c r="F40">
        <v>135.61000000000001</v>
      </c>
      <c r="G40">
        <v>394</v>
      </c>
    </row>
    <row r="41" spans="1:7" x14ac:dyDescent="0.3">
      <c r="A41" t="s">
        <v>1687</v>
      </c>
      <c r="B41" t="s">
        <v>1688</v>
      </c>
      <c r="C41" t="s">
        <v>1548</v>
      </c>
      <c r="D41" t="s">
        <v>1689</v>
      </c>
      <c r="E41" t="s">
        <v>1690</v>
      </c>
      <c r="F41">
        <v>326.06</v>
      </c>
      <c r="G41">
        <v>301</v>
      </c>
    </row>
    <row r="42" spans="1:7" x14ac:dyDescent="0.3">
      <c r="A42" t="s">
        <v>1691</v>
      </c>
      <c r="B42" t="s">
        <v>1692</v>
      </c>
      <c r="C42" t="s">
        <v>1548</v>
      </c>
      <c r="D42" t="s">
        <v>1583</v>
      </c>
      <c r="E42" t="s">
        <v>1693</v>
      </c>
      <c r="F42">
        <v>38.520000000000003</v>
      </c>
      <c r="G42">
        <v>378</v>
      </c>
    </row>
    <row r="43" spans="1:7" x14ac:dyDescent="0.3">
      <c r="A43" t="s">
        <v>1694</v>
      </c>
      <c r="B43" t="s">
        <v>1695</v>
      </c>
      <c r="C43" t="s">
        <v>1587</v>
      </c>
      <c r="D43" t="s">
        <v>1588</v>
      </c>
      <c r="E43" t="s">
        <v>1696</v>
      </c>
      <c r="F43">
        <v>313.26</v>
      </c>
      <c r="G43">
        <v>369</v>
      </c>
    </row>
    <row r="44" spans="1:7" x14ac:dyDescent="0.3">
      <c r="A44" t="s">
        <v>1697</v>
      </c>
      <c r="B44" t="s">
        <v>1698</v>
      </c>
      <c r="C44" t="s">
        <v>1548</v>
      </c>
      <c r="D44" t="s">
        <v>1569</v>
      </c>
      <c r="E44" t="s">
        <v>1699</v>
      </c>
      <c r="F44">
        <v>450.71</v>
      </c>
      <c r="G44">
        <v>389</v>
      </c>
    </row>
    <row r="45" spans="1:7" x14ac:dyDescent="0.3">
      <c r="A45" t="s">
        <v>1700</v>
      </c>
      <c r="B45" t="s">
        <v>1701</v>
      </c>
      <c r="C45" t="s">
        <v>1548</v>
      </c>
      <c r="D45" t="s">
        <v>1549</v>
      </c>
      <c r="E45" t="s">
        <v>1702</v>
      </c>
      <c r="F45">
        <v>253.33</v>
      </c>
      <c r="G45">
        <v>266</v>
      </c>
    </row>
    <row r="46" spans="1:7" x14ac:dyDescent="0.3">
      <c r="A46" t="s">
        <v>1703</v>
      </c>
      <c r="B46" t="s">
        <v>1704</v>
      </c>
      <c r="C46" t="s">
        <v>1587</v>
      </c>
      <c r="D46" t="s">
        <v>1588</v>
      </c>
      <c r="E46" t="s">
        <v>1705</v>
      </c>
      <c r="F46">
        <v>167.12</v>
      </c>
      <c r="G46">
        <v>316</v>
      </c>
    </row>
    <row r="47" spans="1:7" x14ac:dyDescent="0.3">
      <c r="A47" t="s">
        <v>1706</v>
      </c>
      <c r="B47" t="s">
        <v>1707</v>
      </c>
      <c r="C47" t="s">
        <v>1587</v>
      </c>
      <c r="D47" t="s">
        <v>1663</v>
      </c>
      <c r="E47" t="s">
        <v>1708</v>
      </c>
      <c r="F47">
        <v>318.91000000000003</v>
      </c>
      <c r="G47">
        <v>114</v>
      </c>
    </row>
    <row r="48" spans="1:7" x14ac:dyDescent="0.3">
      <c r="A48" t="s">
        <v>1709</v>
      </c>
      <c r="B48" t="s">
        <v>1710</v>
      </c>
      <c r="C48" t="s">
        <v>1553</v>
      </c>
      <c r="D48" t="s">
        <v>1558</v>
      </c>
      <c r="E48" t="s">
        <v>1711</v>
      </c>
      <c r="F48">
        <v>167.34</v>
      </c>
      <c r="G48">
        <v>296</v>
      </c>
    </row>
    <row r="49" spans="1:7" x14ac:dyDescent="0.3">
      <c r="A49" t="s">
        <v>1712</v>
      </c>
      <c r="B49" t="s">
        <v>1713</v>
      </c>
      <c r="C49" t="s">
        <v>1573</v>
      </c>
      <c r="D49" t="s">
        <v>1714</v>
      </c>
      <c r="E49" t="s">
        <v>1715</v>
      </c>
      <c r="F49">
        <v>112.2</v>
      </c>
      <c r="G49">
        <v>431</v>
      </c>
    </row>
    <row r="50" spans="1:7" x14ac:dyDescent="0.3">
      <c r="A50" t="s">
        <v>1716</v>
      </c>
      <c r="B50" t="s">
        <v>1717</v>
      </c>
      <c r="C50" t="s">
        <v>1548</v>
      </c>
      <c r="D50" t="s">
        <v>1569</v>
      </c>
      <c r="E50" t="s">
        <v>1718</v>
      </c>
      <c r="F50">
        <v>177.98</v>
      </c>
      <c r="G50">
        <v>103</v>
      </c>
    </row>
    <row r="51" spans="1:7" x14ac:dyDescent="0.3">
      <c r="A51" t="s">
        <v>1719</v>
      </c>
      <c r="B51" t="s">
        <v>1720</v>
      </c>
      <c r="C51" t="s">
        <v>1573</v>
      </c>
      <c r="D51" t="s">
        <v>1721</v>
      </c>
      <c r="E51" t="s">
        <v>1722</v>
      </c>
      <c r="F51">
        <v>43.29</v>
      </c>
      <c r="G51">
        <v>267</v>
      </c>
    </row>
    <row r="52" spans="1:7" x14ac:dyDescent="0.3">
      <c r="A52" t="s">
        <v>1723</v>
      </c>
      <c r="B52" t="s">
        <v>1724</v>
      </c>
      <c r="C52" t="s">
        <v>1587</v>
      </c>
      <c r="D52" t="s">
        <v>1588</v>
      </c>
      <c r="E52" t="s">
        <v>1725</v>
      </c>
      <c r="F52">
        <v>190.29</v>
      </c>
      <c r="G52">
        <v>260</v>
      </c>
    </row>
    <row r="53" spans="1:7" x14ac:dyDescent="0.3">
      <c r="A53" t="s">
        <v>1726</v>
      </c>
      <c r="B53" t="s">
        <v>1727</v>
      </c>
      <c r="C53" t="s">
        <v>1548</v>
      </c>
      <c r="D53" t="s">
        <v>1569</v>
      </c>
      <c r="E53" t="s">
        <v>1728</v>
      </c>
      <c r="F53">
        <v>88.49</v>
      </c>
      <c r="G53">
        <v>246</v>
      </c>
    </row>
    <row r="54" spans="1:7" x14ac:dyDescent="0.3">
      <c r="A54" t="s">
        <v>1729</v>
      </c>
      <c r="B54" t="s">
        <v>1730</v>
      </c>
      <c r="C54" t="s">
        <v>1587</v>
      </c>
      <c r="D54" t="s">
        <v>1663</v>
      </c>
      <c r="E54" t="s">
        <v>1731</v>
      </c>
      <c r="F54">
        <v>212.26</v>
      </c>
      <c r="G54">
        <v>82</v>
      </c>
    </row>
    <row r="55" spans="1:7" x14ac:dyDescent="0.3">
      <c r="A55" t="s">
        <v>1732</v>
      </c>
      <c r="B55" t="s">
        <v>1733</v>
      </c>
      <c r="C55" t="s">
        <v>1553</v>
      </c>
      <c r="D55" t="s">
        <v>1565</v>
      </c>
      <c r="E55" t="s">
        <v>1734</v>
      </c>
      <c r="F55">
        <v>386.56</v>
      </c>
      <c r="G55">
        <v>125</v>
      </c>
    </row>
    <row r="56" spans="1:7" x14ac:dyDescent="0.3">
      <c r="A56" t="s">
        <v>1735</v>
      </c>
      <c r="B56" t="s">
        <v>1736</v>
      </c>
      <c r="C56" t="s">
        <v>1587</v>
      </c>
      <c r="D56" t="s">
        <v>1569</v>
      </c>
      <c r="E56" t="s">
        <v>1737</v>
      </c>
      <c r="F56">
        <v>434.84</v>
      </c>
      <c r="G56">
        <v>185</v>
      </c>
    </row>
    <row r="57" spans="1:7" x14ac:dyDescent="0.3">
      <c r="A57" t="s">
        <v>1738</v>
      </c>
      <c r="B57" t="s">
        <v>1739</v>
      </c>
      <c r="C57" t="s">
        <v>1578</v>
      </c>
      <c r="D57" t="s">
        <v>1606</v>
      </c>
      <c r="E57" t="s">
        <v>1740</v>
      </c>
      <c r="F57">
        <v>81.75</v>
      </c>
      <c r="G57">
        <v>416</v>
      </c>
    </row>
    <row r="58" spans="1:7" x14ac:dyDescent="0.3">
      <c r="A58" t="s">
        <v>1741</v>
      </c>
      <c r="B58" t="s">
        <v>1742</v>
      </c>
      <c r="C58" t="s">
        <v>1578</v>
      </c>
      <c r="D58" t="s">
        <v>1606</v>
      </c>
      <c r="E58" t="s">
        <v>1743</v>
      </c>
      <c r="F58">
        <v>461.47</v>
      </c>
      <c r="G58">
        <v>190</v>
      </c>
    </row>
    <row r="59" spans="1:7" x14ac:dyDescent="0.3">
      <c r="A59" t="s">
        <v>1744</v>
      </c>
      <c r="B59" t="s">
        <v>1745</v>
      </c>
      <c r="C59" t="s">
        <v>1587</v>
      </c>
      <c r="D59" t="s">
        <v>1588</v>
      </c>
      <c r="E59" t="s">
        <v>1746</v>
      </c>
      <c r="F59">
        <v>30.62</v>
      </c>
      <c r="G59">
        <v>138</v>
      </c>
    </row>
    <row r="60" spans="1:7" x14ac:dyDescent="0.3">
      <c r="A60" t="s">
        <v>1747</v>
      </c>
      <c r="B60" t="s">
        <v>1748</v>
      </c>
      <c r="C60" t="s">
        <v>1553</v>
      </c>
      <c r="D60" t="s">
        <v>1569</v>
      </c>
      <c r="E60" t="s">
        <v>1749</v>
      </c>
      <c r="F60">
        <v>113.83</v>
      </c>
      <c r="G60">
        <v>485</v>
      </c>
    </row>
    <row r="61" spans="1:7" x14ac:dyDescent="0.3">
      <c r="A61" t="s">
        <v>1750</v>
      </c>
      <c r="B61" t="s">
        <v>1751</v>
      </c>
      <c r="C61" t="s">
        <v>1573</v>
      </c>
      <c r="D61" t="s">
        <v>1599</v>
      </c>
      <c r="E61" t="s">
        <v>1752</v>
      </c>
      <c r="F61">
        <v>17.309999999999999</v>
      </c>
      <c r="G61">
        <v>399</v>
      </c>
    </row>
    <row r="62" spans="1:7" x14ac:dyDescent="0.3">
      <c r="A62" t="s">
        <v>1753</v>
      </c>
      <c r="B62" t="s">
        <v>1754</v>
      </c>
      <c r="C62" t="s">
        <v>1573</v>
      </c>
      <c r="D62" t="s">
        <v>1721</v>
      </c>
      <c r="E62" t="s">
        <v>1755</v>
      </c>
      <c r="F62">
        <v>482.75</v>
      </c>
      <c r="G62">
        <v>444</v>
      </c>
    </row>
    <row r="63" spans="1:7" x14ac:dyDescent="0.3">
      <c r="A63" t="s">
        <v>1756</v>
      </c>
      <c r="B63" t="s">
        <v>1757</v>
      </c>
      <c r="C63" t="s">
        <v>1587</v>
      </c>
      <c r="D63" t="s">
        <v>1624</v>
      </c>
      <c r="E63" t="s">
        <v>1758</v>
      </c>
      <c r="F63">
        <v>103.45</v>
      </c>
      <c r="G63">
        <v>465</v>
      </c>
    </row>
    <row r="64" spans="1:7" x14ac:dyDescent="0.3">
      <c r="A64" t="s">
        <v>1759</v>
      </c>
      <c r="B64" t="s">
        <v>1760</v>
      </c>
      <c r="C64" t="s">
        <v>1548</v>
      </c>
      <c r="D64" t="s">
        <v>1549</v>
      </c>
      <c r="E64" t="s">
        <v>1761</v>
      </c>
      <c r="F64">
        <v>86.42</v>
      </c>
      <c r="G64">
        <v>222</v>
      </c>
    </row>
    <row r="65" spans="1:7" x14ac:dyDescent="0.3">
      <c r="A65" t="s">
        <v>1762</v>
      </c>
      <c r="B65" t="s">
        <v>1763</v>
      </c>
      <c r="C65" t="s">
        <v>1573</v>
      </c>
      <c r="D65" t="s">
        <v>1574</v>
      </c>
      <c r="E65" t="s">
        <v>1764</v>
      </c>
      <c r="F65">
        <v>266.86</v>
      </c>
      <c r="G65">
        <v>458</v>
      </c>
    </row>
    <row r="66" spans="1:7" x14ac:dyDescent="0.3">
      <c r="A66" t="s">
        <v>1765</v>
      </c>
      <c r="B66" t="s">
        <v>1766</v>
      </c>
      <c r="C66" t="s">
        <v>1573</v>
      </c>
      <c r="D66" t="s">
        <v>1714</v>
      </c>
      <c r="E66" t="s">
        <v>1767</v>
      </c>
      <c r="F66">
        <v>299.11</v>
      </c>
      <c r="G66">
        <v>118</v>
      </c>
    </row>
    <row r="67" spans="1:7" x14ac:dyDescent="0.3">
      <c r="A67" t="s">
        <v>1768</v>
      </c>
      <c r="B67" t="s">
        <v>1769</v>
      </c>
      <c r="C67" t="s">
        <v>1587</v>
      </c>
      <c r="D67" t="s">
        <v>1588</v>
      </c>
      <c r="E67" t="s">
        <v>1770</v>
      </c>
      <c r="F67">
        <v>240.63</v>
      </c>
      <c r="G67">
        <v>423</v>
      </c>
    </row>
    <row r="68" spans="1:7" x14ac:dyDescent="0.3">
      <c r="A68" t="s">
        <v>1771</v>
      </c>
      <c r="B68" t="s">
        <v>1772</v>
      </c>
      <c r="C68" t="s">
        <v>1573</v>
      </c>
      <c r="D68" t="s">
        <v>1599</v>
      </c>
      <c r="E68" t="s">
        <v>1773</v>
      </c>
      <c r="F68">
        <v>340.39</v>
      </c>
      <c r="G68">
        <v>177</v>
      </c>
    </row>
    <row r="69" spans="1:7" x14ac:dyDescent="0.3">
      <c r="A69" t="s">
        <v>1774</v>
      </c>
      <c r="B69" t="s">
        <v>1775</v>
      </c>
      <c r="C69" t="s">
        <v>1548</v>
      </c>
      <c r="D69" t="s">
        <v>1569</v>
      </c>
      <c r="E69" t="s">
        <v>1776</v>
      </c>
      <c r="F69">
        <v>349.17</v>
      </c>
      <c r="G69">
        <v>476</v>
      </c>
    </row>
    <row r="70" spans="1:7" x14ac:dyDescent="0.3">
      <c r="A70" t="s">
        <v>1777</v>
      </c>
      <c r="B70" t="s">
        <v>1778</v>
      </c>
      <c r="C70" t="s">
        <v>1578</v>
      </c>
      <c r="D70" t="s">
        <v>1779</v>
      </c>
      <c r="E70" t="s">
        <v>1780</v>
      </c>
      <c r="F70">
        <v>243.7</v>
      </c>
      <c r="G70">
        <v>130</v>
      </c>
    </row>
    <row r="71" spans="1:7" x14ac:dyDescent="0.3">
      <c r="A71" t="s">
        <v>1781</v>
      </c>
      <c r="B71" t="s">
        <v>1782</v>
      </c>
      <c r="C71" t="s">
        <v>1553</v>
      </c>
      <c r="D71" t="s">
        <v>1565</v>
      </c>
      <c r="E71" t="s">
        <v>1783</v>
      </c>
      <c r="F71">
        <v>218.22</v>
      </c>
      <c r="G71">
        <v>224</v>
      </c>
    </row>
    <row r="72" spans="1:7" x14ac:dyDescent="0.3">
      <c r="A72" t="s">
        <v>1784</v>
      </c>
      <c r="B72" t="s">
        <v>1785</v>
      </c>
      <c r="C72" t="s">
        <v>1578</v>
      </c>
      <c r="D72" t="s">
        <v>1631</v>
      </c>
      <c r="E72" t="s">
        <v>1786</v>
      </c>
      <c r="F72">
        <v>138.05000000000001</v>
      </c>
      <c r="G72">
        <v>89</v>
      </c>
    </row>
    <row r="73" spans="1:7" x14ac:dyDescent="0.3">
      <c r="A73" t="s">
        <v>1787</v>
      </c>
      <c r="B73" t="s">
        <v>1788</v>
      </c>
      <c r="C73" t="s">
        <v>1573</v>
      </c>
      <c r="D73" t="s">
        <v>1599</v>
      </c>
      <c r="E73" t="s">
        <v>1789</v>
      </c>
      <c r="F73">
        <v>214.32</v>
      </c>
      <c r="G73">
        <v>383</v>
      </c>
    </row>
    <row r="74" spans="1:7" x14ac:dyDescent="0.3">
      <c r="A74" t="s">
        <v>1790</v>
      </c>
      <c r="B74" t="s">
        <v>1791</v>
      </c>
      <c r="C74" t="s">
        <v>1587</v>
      </c>
      <c r="D74" t="s">
        <v>1588</v>
      </c>
      <c r="E74" t="s">
        <v>1792</v>
      </c>
      <c r="F74">
        <v>477.61</v>
      </c>
      <c r="G74">
        <v>300</v>
      </c>
    </row>
    <row r="75" spans="1:7" x14ac:dyDescent="0.3">
      <c r="A75" t="s">
        <v>1793</v>
      </c>
      <c r="B75" t="s">
        <v>1794</v>
      </c>
      <c r="C75" t="s">
        <v>1587</v>
      </c>
      <c r="D75" t="s">
        <v>1663</v>
      </c>
      <c r="E75" t="s">
        <v>1795</v>
      </c>
      <c r="F75">
        <v>107.06</v>
      </c>
      <c r="G75">
        <v>359</v>
      </c>
    </row>
    <row r="76" spans="1:7" x14ac:dyDescent="0.3">
      <c r="A76" t="s">
        <v>1796</v>
      </c>
      <c r="B76" t="s">
        <v>1797</v>
      </c>
      <c r="C76" t="s">
        <v>1548</v>
      </c>
      <c r="D76" t="s">
        <v>1583</v>
      </c>
      <c r="E76" t="s">
        <v>1798</v>
      </c>
      <c r="F76">
        <v>403.71</v>
      </c>
      <c r="G76">
        <v>159</v>
      </c>
    </row>
    <row r="77" spans="1:7" x14ac:dyDescent="0.3">
      <c r="A77" t="s">
        <v>1799</v>
      </c>
      <c r="B77" t="s">
        <v>1800</v>
      </c>
      <c r="C77" t="s">
        <v>1553</v>
      </c>
      <c r="D77" t="s">
        <v>1682</v>
      </c>
      <c r="E77" t="s">
        <v>1801</v>
      </c>
      <c r="F77">
        <v>158.13999999999999</v>
      </c>
      <c r="G77">
        <v>82</v>
      </c>
    </row>
    <row r="78" spans="1:7" x14ac:dyDescent="0.3">
      <c r="A78" t="s">
        <v>1802</v>
      </c>
      <c r="B78" t="s">
        <v>1803</v>
      </c>
      <c r="C78" t="s">
        <v>1548</v>
      </c>
      <c r="D78" t="s">
        <v>1549</v>
      </c>
      <c r="E78" t="s">
        <v>1804</v>
      </c>
      <c r="F78">
        <v>392.89</v>
      </c>
      <c r="G78">
        <v>320</v>
      </c>
    </row>
    <row r="79" spans="1:7" x14ac:dyDescent="0.3">
      <c r="A79" t="s">
        <v>1805</v>
      </c>
      <c r="B79" t="s">
        <v>1806</v>
      </c>
      <c r="C79" t="s">
        <v>1548</v>
      </c>
      <c r="D79" t="s">
        <v>1610</v>
      </c>
      <c r="E79" t="s">
        <v>1807</v>
      </c>
      <c r="F79">
        <v>480.9</v>
      </c>
      <c r="G79">
        <v>104</v>
      </c>
    </row>
    <row r="80" spans="1:7" x14ac:dyDescent="0.3">
      <c r="A80" t="s">
        <v>1808</v>
      </c>
      <c r="B80" t="s">
        <v>1809</v>
      </c>
      <c r="C80" t="s">
        <v>1578</v>
      </c>
      <c r="D80" t="s">
        <v>1606</v>
      </c>
      <c r="E80" t="s">
        <v>1810</v>
      </c>
      <c r="F80">
        <v>325.26</v>
      </c>
      <c r="G80">
        <v>400</v>
      </c>
    </row>
    <row r="81" spans="1:7" x14ac:dyDescent="0.3">
      <c r="A81" t="s">
        <v>1811</v>
      </c>
      <c r="B81" t="s">
        <v>1812</v>
      </c>
      <c r="C81" t="s">
        <v>1578</v>
      </c>
      <c r="D81" t="s">
        <v>1579</v>
      </c>
      <c r="E81" t="s">
        <v>1813</v>
      </c>
      <c r="F81">
        <v>228.53</v>
      </c>
      <c r="G81">
        <v>469</v>
      </c>
    </row>
    <row r="82" spans="1:7" x14ac:dyDescent="0.3">
      <c r="A82" t="s">
        <v>1814</v>
      </c>
      <c r="B82" t="s">
        <v>1815</v>
      </c>
      <c r="C82" t="s">
        <v>1578</v>
      </c>
      <c r="D82" t="s">
        <v>1592</v>
      </c>
      <c r="E82" t="s">
        <v>1816</v>
      </c>
      <c r="F82">
        <v>143.43</v>
      </c>
      <c r="G82">
        <v>58</v>
      </c>
    </row>
    <row r="83" spans="1:7" x14ac:dyDescent="0.3">
      <c r="A83" t="s">
        <v>1817</v>
      </c>
      <c r="B83" t="s">
        <v>1818</v>
      </c>
      <c r="C83" t="s">
        <v>1587</v>
      </c>
      <c r="D83" t="s">
        <v>1624</v>
      </c>
      <c r="E83" t="s">
        <v>1819</v>
      </c>
      <c r="F83">
        <v>285.54000000000002</v>
      </c>
      <c r="G83">
        <v>358</v>
      </c>
    </row>
    <row r="84" spans="1:7" x14ac:dyDescent="0.3">
      <c r="A84" t="s">
        <v>1820</v>
      </c>
      <c r="B84" t="s">
        <v>1821</v>
      </c>
      <c r="C84" t="s">
        <v>1587</v>
      </c>
      <c r="D84" t="s">
        <v>1588</v>
      </c>
      <c r="E84" t="s">
        <v>1822</v>
      </c>
      <c r="F84">
        <v>152.91999999999999</v>
      </c>
      <c r="G84">
        <v>281</v>
      </c>
    </row>
    <row r="85" spans="1:7" x14ac:dyDescent="0.3">
      <c r="A85" t="s">
        <v>1823</v>
      </c>
      <c r="B85" t="s">
        <v>1824</v>
      </c>
      <c r="C85" t="s">
        <v>1573</v>
      </c>
      <c r="D85" t="s">
        <v>1574</v>
      </c>
      <c r="E85" t="s">
        <v>1825</v>
      </c>
      <c r="F85">
        <v>112.2</v>
      </c>
      <c r="G85">
        <v>159</v>
      </c>
    </row>
    <row r="86" spans="1:7" x14ac:dyDescent="0.3">
      <c r="A86" t="s">
        <v>1826</v>
      </c>
      <c r="B86" t="s">
        <v>1827</v>
      </c>
      <c r="C86" t="s">
        <v>1578</v>
      </c>
      <c r="D86" t="s">
        <v>1779</v>
      </c>
      <c r="E86" t="s">
        <v>1828</v>
      </c>
      <c r="F86">
        <v>388.46</v>
      </c>
      <c r="G86">
        <v>208</v>
      </c>
    </row>
    <row r="87" spans="1:7" x14ac:dyDescent="0.3">
      <c r="A87" t="s">
        <v>1829</v>
      </c>
      <c r="B87" t="s">
        <v>1830</v>
      </c>
      <c r="C87" t="s">
        <v>1553</v>
      </c>
      <c r="D87" t="s">
        <v>1569</v>
      </c>
      <c r="E87" t="s">
        <v>1831</v>
      </c>
      <c r="F87">
        <v>119.57</v>
      </c>
      <c r="G87">
        <v>210</v>
      </c>
    </row>
    <row r="88" spans="1:7" x14ac:dyDescent="0.3">
      <c r="A88" t="s">
        <v>1832</v>
      </c>
      <c r="B88" t="s">
        <v>1833</v>
      </c>
      <c r="C88" t="s">
        <v>1578</v>
      </c>
      <c r="D88" t="s">
        <v>1592</v>
      </c>
      <c r="E88" t="s">
        <v>1834</v>
      </c>
      <c r="F88">
        <v>176.07</v>
      </c>
      <c r="G88">
        <v>82</v>
      </c>
    </row>
    <row r="89" spans="1:7" x14ac:dyDescent="0.3">
      <c r="A89" t="s">
        <v>1835</v>
      </c>
      <c r="B89" t="s">
        <v>1836</v>
      </c>
      <c r="C89" t="s">
        <v>1578</v>
      </c>
      <c r="D89" t="s">
        <v>1579</v>
      </c>
      <c r="E89" t="s">
        <v>1837</v>
      </c>
      <c r="F89">
        <v>371.38</v>
      </c>
      <c r="G89">
        <v>220</v>
      </c>
    </row>
    <row r="90" spans="1:7" x14ac:dyDescent="0.3">
      <c r="A90" t="s">
        <v>1838</v>
      </c>
      <c r="B90" t="s">
        <v>1839</v>
      </c>
      <c r="C90" t="s">
        <v>1587</v>
      </c>
      <c r="D90" t="s">
        <v>1569</v>
      </c>
      <c r="E90" t="s">
        <v>1840</v>
      </c>
      <c r="F90">
        <v>131.24</v>
      </c>
      <c r="G90">
        <v>232</v>
      </c>
    </row>
    <row r="91" spans="1:7" x14ac:dyDescent="0.3">
      <c r="A91" t="s">
        <v>1841</v>
      </c>
      <c r="B91" t="s">
        <v>1842</v>
      </c>
      <c r="C91" t="s">
        <v>1573</v>
      </c>
      <c r="D91" t="s">
        <v>1714</v>
      </c>
      <c r="E91" t="s">
        <v>1843</v>
      </c>
      <c r="F91">
        <v>183.04</v>
      </c>
      <c r="G91">
        <v>457</v>
      </c>
    </row>
    <row r="92" spans="1:7" x14ac:dyDescent="0.3">
      <c r="A92" t="s">
        <v>1844</v>
      </c>
      <c r="B92" t="s">
        <v>1845</v>
      </c>
      <c r="C92" t="s">
        <v>1548</v>
      </c>
      <c r="D92" t="s">
        <v>1569</v>
      </c>
      <c r="E92" t="s">
        <v>1846</v>
      </c>
      <c r="F92">
        <v>340.14</v>
      </c>
      <c r="G92">
        <v>361</v>
      </c>
    </row>
    <row r="93" spans="1:7" x14ac:dyDescent="0.3">
      <c r="A93" t="s">
        <v>1847</v>
      </c>
      <c r="B93" t="s">
        <v>1848</v>
      </c>
      <c r="C93" t="s">
        <v>1553</v>
      </c>
      <c r="D93" t="s">
        <v>1682</v>
      </c>
      <c r="E93" t="s">
        <v>1849</v>
      </c>
      <c r="F93">
        <v>438.25</v>
      </c>
      <c r="G93">
        <v>496</v>
      </c>
    </row>
    <row r="94" spans="1:7" x14ac:dyDescent="0.3">
      <c r="A94" t="s">
        <v>1850</v>
      </c>
      <c r="B94" t="s">
        <v>1851</v>
      </c>
      <c r="C94" t="s">
        <v>1578</v>
      </c>
      <c r="D94" t="s">
        <v>1610</v>
      </c>
      <c r="E94" t="s">
        <v>1852</v>
      </c>
      <c r="F94">
        <v>447.43</v>
      </c>
      <c r="G94">
        <v>191</v>
      </c>
    </row>
    <row r="95" spans="1:7" x14ac:dyDescent="0.3">
      <c r="A95" t="s">
        <v>1853</v>
      </c>
      <c r="B95" t="s">
        <v>1854</v>
      </c>
      <c r="C95" t="s">
        <v>1548</v>
      </c>
      <c r="D95" t="s">
        <v>1549</v>
      </c>
      <c r="E95" t="s">
        <v>1855</v>
      </c>
      <c r="F95">
        <v>377.52</v>
      </c>
      <c r="G95">
        <v>485</v>
      </c>
    </row>
    <row r="96" spans="1:7" x14ac:dyDescent="0.3">
      <c r="A96" t="s">
        <v>1856</v>
      </c>
      <c r="B96" t="s">
        <v>1857</v>
      </c>
      <c r="C96" t="s">
        <v>1573</v>
      </c>
      <c r="D96" t="s">
        <v>1574</v>
      </c>
      <c r="E96" t="s">
        <v>1858</v>
      </c>
      <c r="F96">
        <v>358.47</v>
      </c>
      <c r="G96">
        <v>213</v>
      </c>
    </row>
    <row r="97" spans="1:7" x14ac:dyDescent="0.3">
      <c r="A97" t="s">
        <v>1859</v>
      </c>
      <c r="B97" t="s">
        <v>1860</v>
      </c>
      <c r="C97" t="s">
        <v>1587</v>
      </c>
      <c r="D97" t="s">
        <v>1569</v>
      </c>
      <c r="E97" t="s">
        <v>1861</v>
      </c>
      <c r="F97">
        <v>60.65</v>
      </c>
      <c r="G97">
        <v>75</v>
      </c>
    </row>
    <row r="98" spans="1:7" x14ac:dyDescent="0.3">
      <c r="A98" t="s">
        <v>1862</v>
      </c>
      <c r="B98" t="s">
        <v>1863</v>
      </c>
      <c r="C98" t="s">
        <v>1553</v>
      </c>
      <c r="D98" t="s">
        <v>1558</v>
      </c>
      <c r="E98" t="s">
        <v>1864</v>
      </c>
      <c r="F98">
        <v>358.47</v>
      </c>
      <c r="G98">
        <v>143</v>
      </c>
    </row>
    <row r="99" spans="1:7" x14ac:dyDescent="0.3">
      <c r="A99" t="s">
        <v>1865</v>
      </c>
      <c r="B99" t="s">
        <v>1866</v>
      </c>
      <c r="C99" t="s">
        <v>1587</v>
      </c>
      <c r="D99" t="s">
        <v>1663</v>
      </c>
      <c r="E99" t="s">
        <v>1867</v>
      </c>
      <c r="F99">
        <v>245.98</v>
      </c>
      <c r="G99">
        <v>471</v>
      </c>
    </row>
    <row r="100" spans="1:7" x14ac:dyDescent="0.3">
      <c r="A100" t="s">
        <v>1868</v>
      </c>
      <c r="B100" t="s">
        <v>1869</v>
      </c>
      <c r="C100" t="s">
        <v>1548</v>
      </c>
      <c r="D100" t="s">
        <v>1583</v>
      </c>
      <c r="E100" t="s">
        <v>1870</v>
      </c>
      <c r="F100">
        <v>431.67</v>
      </c>
      <c r="G100">
        <v>73</v>
      </c>
    </row>
    <row r="101" spans="1:7" x14ac:dyDescent="0.3">
      <c r="A101" t="s">
        <v>1871</v>
      </c>
      <c r="B101" t="s">
        <v>1872</v>
      </c>
      <c r="C101" t="s">
        <v>1578</v>
      </c>
      <c r="D101" t="s">
        <v>1592</v>
      </c>
      <c r="E101" t="s">
        <v>1873</v>
      </c>
      <c r="F101">
        <v>201.41</v>
      </c>
      <c r="G101">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5E33-CD91-4E8F-8829-615ED1097384}">
  <dimension ref="A1:E21"/>
  <sheetViews>
    <sheetView workbookViewId="0">
      <selection activeCell="F24" sqref="F24"/>
    </sheetView>
  </sheetViews>
  <sheetFormatPr defaultRowHeight="14.4" x14ac:dyDescent="0.3"/>
  <sheetData>
    <row r="1" spans="1:5" x14ac:dyDescent="0.3">
      <c r="A1" t="s">
        <v>1874</v>
      </c>
      <c r="B1" t="s">
        <v>1875</v>
      </c>
      <c r="C1" t="s">
        <v>1876</v>
      </c>
      <c r="D1" t="s">
        <v>4</v>
      </c>
      <c r="E1" t="s">
        <v>1877</v>
      </c>
    </row>
    <row r="2" spans="1:5" x14ac:dyDescent="0.3">
      <c r="A2" t="s">
        <v>1878</v>
      </c>
      <c r="B2" t="s">
        <v>1879</v>
      </c>
      <c r="C2" t="s">
        <v>1880</v>
      </c>
      <c r="D2" t="s">
        <v>1881</v>
      </c>
      <c r="E2" t="s">
        <v>1882</v>
      </c>
    </row>
    <row r="3" spans="1:5" x14ac:dyDescent="0.3">
      <c r="A3" t="s">
        <v>1883</v>
      </c>
      <c r="B3" t="s">
        <v>1884</v>
      </c>
      <c r="C3" t="s">
        <v>1885</v>
      </c>
      <c r="D3" t="s">
        <v>1886</v>
      </c>
      <c r="E3" t="s">
        <v>1882</v>
      </c>
    </row>
    <row r="4" spans="1:5" x14ac:dyDescent="0.3">
      <c r="A4" t="s">
        <v>1887</v>
      </c>
      <c r="B4" t="s">
        <v>1888</v>
      </c>
      <c r="C4" t="s">
        <v>1889</v>
      </c>
      <c r="D4" t="s">
        <v>1890</v>
      </c>
      <c r="E4" t="s">
        <v>1891</v>
      </c>
    </row>
    <row r="5" spans="1:5" x14ac:dyDescent="0.3">
      <c r="A5" t="s">
        <v>1892</v>
      </c>
      <c r="B5" t="s">
        <v>1893</v>
      </c>
      <c r="C5" t="s">
        <v>1885</v>
      </c>
      <c r="D5" t="s">
        <v>1894</v>
      </c>
      <c r="E5" t="s">
        <v>1891</v>
      </c>
    </row>
    <row r="6" spans="1:5" x14ac:dyDescent="0.3">
      <c r="A6" t="s">
        <v>1895</v>
      </c>
      <c r="B6" t="s">
        <v>1896</v>
      </c>
      <c r="C6" t="s">
        <v>1889</v>
      </c>
      <c r="D6" t="s">
        <v>1897</v>
      </c>
      <c r="E6" t="s">
        <v>1898</v>
      </c>
    </row>
    <row r="7" spans="1:5" x14ac:dyDescent="0.3">
      <c r="A7" t="s">
        <v>1899</v>
      </c>
      <c r="B7" t="s">
        <v>1900</v>
      </c>
      <c r="C7" t="s">
        <v>1885</v>
      </c>
      <c r="D7" t="s">
        <v>1901</v>
      </c>
      <c r="E7" t="s">
        <v>1891</v>
      </c>
    </row>
    <row r="8" spans="1:5" x14ac:dyDescent="0.3">
      <c r="A8" t="s">
        <v>1902</v>
      </c>
      <c r="B8" t="s">
        <v>1903</v>
      </c>
      <c r="C8" t="s">
        <v>1880</v>
      </c>
      <c r="D8" t="s">
        <v>1904</v>
      </c>
      <c r="E8" t="s">
        <v>1898</v>
      </c>
    </row>
    <row r="9" spans="1:5" x14ac:dyDescent="0.3">
      <c r="A9" t="s">
        <v>1905</v>
      </c>
      <c r="B9" t="s">
        <v>1906</v>
      </c>
      <c r="C9" t="s">
        <v>1889</v>
      </c>
      <c r="D9" t="s">
        <v>1907</v>
      </c>
      <c r="E9" t="s">
        <v>1898</v>
      </c>
    </row>
    <row r="10" spans="1:5" x14ac:dyDescent="0.3">
      <c r="A10" t="s">
        <v>1908</v>
      </c>
      <c r="B10" t="s">
        <v>1909</v>
      </c>
      <c r="C10" t="s">
        <v>1910</v>
      </c>
      <c r="D10" t="s">
        <v>1911</v>
      </c>
      <c r="E10" t="s">
        <v>1898</v>
      </c>
    </row>
    <row r="11" spans="1:5" x14ac:dyDescent="0.3">
      <c r="A11" t="s">
        <v>1912</v>
      </c>
      <c r="B11" t="s">
        <v>1913</v>
      </c>
      <c r="C11" t="s">
        <v>1889</v>
      </c>
      <c r="D11" t="s">
        <v>1914</v>
      </c>
      <c r="E11" t="s">
        <v>1882</v>
      </c>
    </row>
    <row r="12" spans="1:5" x14ac:dyDescent="0.3">
      <c r="A12" t="s">
        <v>1915</v>
      </c>
      <c r="B12" t="s">
        <v>1916</v>
      </c>
      <c r="C12" t="s">
        <v>1880</v>
      </c>
      <c r="D12" t="s">
        <v>1917</v>
      </c>
      <c r="E12" t="s">
        <v>1898</v>
      </c>
    </row>
    <row r="13" spans="1:5" x14ac:dyDescent="0.3">
      <c r="A13" t="s">
        <v>1918</v>
      </c>
      <c r="B13" t="s">
        <v>1919</v>
      </c>
      <c r="C13" t="s">
        <v>1889</v>
      </c>
      <c r="D13" t="s">
        <v>399</v>
      </c>
      <c r="E13" t="s">
        <v>1898</v>
      </c>
    </row>
    <row r="14" spans="1:5" x14ac:dyDescent="0.3">
      <c r="A14" t="s">
        <v>1920</v>
      </c>
      <c r="B14" t="s">
        <v>1921</v>
      </c>
      <c r="C14" t="s">
        <v>1885</v>
      </c>
      <c r="D14" t="s">
        <v>1922</v>
      </c>
      <c r="E14" t="s">
        <v>1898</v>
      </c>
    </row>
    <row r="15" spans="1:5" x14ac:dyDescent="0.3">
      <c r="A15" t="s">
        <v>1923</v>
      </c>
      <c r="B15" t="s">
        <v>1924</v>
      </c>
      <c r="C15" t="s">
        <v>1880</v>
      </c>
      <c r="D15" t="s">
        <v>133</v>
      </c>
      <c r="E15" t="s">
        <v>1882</v>
      </c>
    </row>
    <row r="16" spans="1:5" x14ac:dyDescent="0.3">
      <c r="A16" t="s">
        <v>1925</v>
      </c>
      <c r="B16" t="s">
        <v>1926</v>
      </c>
      <c r="C16" t="s">
        <v>1889</v>
      </c>
      <c r="D16" t="s">
        <v>211</v>
      </c>
      <c r="E16" t="s">
        <v>1891</v>
      </c>
    </row>
    <row r="17" spans="1:5" x14ac:dyDescent="0.3">
      <c r="A17" t="s">
        <v>1927</v>
      </c>
      <c r="B17" t="s">
        <v>1928</v>
      </c>
      <c r="C17" t="s">
        <v>1885</v>
      </c>
      <c r="D17" t="s">
        <v>1929</v>
      </c>
      <c r="E17" t="s">
        <v>1882</v>
      </c>
    </row>
    <row r="18" spans="1:5" x14ac:dyDescent="0.3">
      <c r="A18" t="s">
        <v>1930</v>
      </c>
      <c r="B18" t="s">
        <v>1931</v>
      </c>
      <c r="C18" t="s">
        <v>1910</v>
      </c>
      <c r="D18" t="s">
        <v>1932</v>
      </c>
      <c r="E18" t="s">
        <v>1882</v>
      </c>
    </row>
    <row r="19" spans="1:5" x14ac:dyDescent="0.3">
      <c r="A19" t="s">
        <v>1933</v>
      </c>
      <c r="B19" t="s">
        <v>1934</v>
      </c>
      <c r="C19" t="s">
        <v>1885</v>
      </c>
      <c r="D19" t="s">
        <v>1935</v>
      </c>
      <c r="E19" t="s">
        <v>1882</v>
      </c>
    </row>
    <row r="20" spans="1:5" x14ac:dyDescent="0.3">
      <c r="A20" t="s">
        <v>1936</v>
      </c>
      <c r="B20" t="s">
        <v>1937</v>
      </c>
      <c r="C20" t="s">
        <v>1880</v>
      </c>
      <c r="D20" t="s">
        <v>1938</v>
      </c>
      <c r="E20" t="s">
        <v>1882</v>
      </c>
    </row>
    <row r="21" spans="1:5" x14ac:dyDescent="0.3">
      <c r="A21" t="s">
        <v>1939</v>
      </c>
      <c r="B21" t="s">
        <v>1940</v>
      </c>
      <c r="C21" t="s">
        <v>1880</v>
      </c>
      <c r="D21" t="s">
        <v>1941</v>
      </c>
      <c r="E21" t="s">
        <v>1898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40A12-3345-4FB6-9694-E43B955A10A1}">
  <dimension ref="A1:G201"/>
  <sheetViews>
    <sheetView workbookViewId="0">
      <selection activeCell="H2" sqref="H2"/>
    </sheetView>
  </sheetViews>
  <sheetFormatPr defaultRowHeight="14.4" x14ac:dyDescent="0.3"/>
  <sheetData>
    <row r="1" spans="1:7" x14ac:dyDescent="0.3">
      <c r="A1" t="s">
        <v>1942</v>
      </c>
      <c r="B1" t="s">
        <v>0</v>
      </c>
      <c r="C1" t="s">
        <v>1943</v>
      </c>
      <c r="D1" t="s">
        <v>1874</v>
      </c>
      <c r="E1" t="s">
        <v>1944</v>
      </c>
      <c r="F1" t="s">
        <v>2159</v>
      </c>
      <c r="G1" t="s">
        <v>1945</v>
      </c>
    </row>
    <row r="2" spans="1:7" x14ac:dyDescent="0.3">
      <c r="A2" t="s">
        <v>1946</v>
      </c>
      <c r="B2" t="s">
        <v>357</v>
      </c>
      <c r="C2" t="s">
        <v>1633</v>
      </c>
      <c r="D2" t="s">
        <v>1895</v>
      </c>
      <c r="E2">
        <v>5</v>
      </c>
      <c r="G2">
        <v>1776.52</v>
      </c>
    </row>
    <row r="3" spans="1:7" x14ac:dyDescent="0.3">
      <c r="A3" t="s">
        <v>1947</v>
      </c>
      <c r="B3" t="s">
        <v>164</v>
      </c>
      <c r="C3" t="s">
        <v>1652</v>
      </c>
      <c r="D3" t="s">
        <v>1883</v>
      </c>
      <c r="E3">
        <v>1</v>
      </c>
      <c r="G3">
        <v>346.62</v>
      </c>
    </row>
    <row r="4" spans="1:7" x14ac:dyDescent="0.3">
      <c r="A4" t="s">
        <v>1948</v>
      </c>
      <c r="B4" t="s">
        <v>179</v>
      </c>
      <c r="C4" t="s">
        <v>1597</v>
      </c>
      <c r="D4" t="s">
        <v>1933</v>
      </c>
      <c r="E4">
        <v>3</v>
      </c>
      <c r="G4">
        <v>384.17</v>
      </c>
    </row>
    <row r="5" spans="1:7" x14ac:dyDescent="0.3">
      <c r="A5" t="s">
        <v>1949</v>
      </c>
      <c r="B5" t="s">
        <v>182</v>
      </c>
      <c r="C5" t="s">
        <v>1652</v>
      </c>
      <c r="D5" t="s">
        <v>1915</v>
      </c>
      <c r="E5">
        <v>1</v>
      </c>
      <c r="G5">
        <v>106.33</v>
      </c>
    </row>
    <row r="6" spans="1:7" x14ac:dyDescent="0.3">
      <c r="A6" t="s">
        <v>1950</v>
      </c>
      <c r="B6" t="s">
        <v>292</v>
      </c>
      <c r="C6" t="s">
        <v>1616</v>
      </c>
      <c r="D6" t="s">
        <v>1895</v>
      </c>
      <c r="E6">
        <v>4</v>
      </c>
      <c r="G6">
        <v>312.35000000000002</v>
      </c>
    </row>
    <row r="7" spans="1:7" x14ac:dyDescent="0.3">
      <c r="A7" t="s">
        <v>1951</v>
      </c>
      <c r="B7" t="s">
        <v>96</v>
      </c>
      <c r="C7" t="s">
        <v>1556</v>
      </c>
      <c r="D7" t="s">
        <v>1878</v>
      </c>
      <c r="E7">
        <v>2</v>
      </c>
      <c r="G7">
        <v>459.56</v>
      </c>
    </row>
    <row r="8" spans="1:7" x14ac:dyDescent="0.3">
      <c r="A8" t="s">
        <v>1952</v>
      </c>
      <c r="B8" t="s">
        <v>29</v>
      </c>
      <c r="C8" t="s">
        <v>1608</v>
      </c>
      <c r="D8" t="s">
        <v>1923</v>
      </c>
      <c r="E8">
        <v>3</v>
      </c>
      <c r="G8">
        <v>1489.3</v>
      </c>
    </row>
    <row r="9" spans="1:7" x14ac:dyDescent="0.3">
      <c r="A9" t="s">
        <v>1953</v>
      </c>
      <c r="B9" t="s">
        <v>172</v>
      </c>
      <c r="C9" t="s">
        <v>1646</v>
      </c>
      <c r="D9" t="s">
        <v>1878</v>
      </c>
      <c r="E9">
        <v>2</v>
      </c>
      <c r="G9">
        <v>477.99</v>
      </c>
    </row>
    <row r="10" spans="1:7" x14ac:dyDescent="0.3">
      <c r="A10" t="s">
        <v>1954</v>
      </c>
      <c r="B10" t="s">
        <v>70</v>
      </c>
      <c r="C10" t="s">
        <v>1576</v>
      </c>
      <c r="D10" t="s">
        <v>1933</v>
      </c>
      <c r="E10">
        <v>5</v>
      </c>
      <c r="G10">
        <v>1406.8</v>
      </c>
    </row>
    <row r="11" spans="1:7" x14ac:dyDescent="0.3">
      <c r="A11" t="s">
        <v>1955</v>
      </c>
      <c r="B11" t="s">
        <v>141</v>
      </c>
      <c r="C11" t="s">
        <v>1655</v>
      </c>
      <c r="D11" t="s">
        <v>1933</v>
      </c>
      <c r="E11">
        <v>4</v>
      </c>
      <c r="G11">
        <v>382.86</v>
      </c>
    </row>
    <row r="12" spans="1:7" x14ac:dyDescent="0.3">
      <c r="A12" t="s">
        <v>1956</v>
      </c>
      <c r="B12" t="s">
        <v>34</v>
      </c>
      <c r="C12" t="s">
        <v>1652</v>
      </c>
      <c r="D12" t="s">
        <v>1920</v>
      </c>
      <c r="E12">
        <v>5</v>
      </c>
      <c r="G12">
        <v>1211.6300000000001</v>
      </c>
    </row>
    <row r="13" spans="1:7" x14ac:dyDescent="0.3">
      <c r="A13" t="s">
        <v>1957</v>
      </c>
      <c r="B13" t="s">
        <v>125</v>
      </c>
      <c r="C13" t="s">
        <v>1639</v>
      </c>
      <c r="D13" t="s">
        <v>1887</v>
      </c>
      <c r="E13">
        <v>1</v>
      </c>
      <c r="G13">
        <v>227.04</v>
      </c>
    </row>
    <row r="14" spans="1:7" x14ac:dyDescent="0.3">
      <c r="A14" t="s">
        <v>1958</v>
      </c>
      <c r="B14" t="s">
        <v>125</v>
      </c>
      <c r="C14" t="s">
        <v>1571</v>
      </c>
      <c r="D14" t="s">
        <v>1892</v>
      </c>
      <c r="E14">
        <v>4</v>
      </c>
      <c r="G14">
        <v>396.01</v>
      </c>
    </row>
    <row r="15" spans="1:7" x14ac:dyDescent="0.3">
      <c r="A15" t="s">
        <v>1959</v>
      </c>
      <c r="B15" t="s">
        <v>118</v>
      </c>
      <c r="C15" t="s">
        <v>1556</v>
      </c>
      <c r="D15" t="s">
        <v>1927</v>
      </c>
      <c r="E15">
        <v>2</v>
      </c>
      <c r="G15">
        <v>879.86</v>
      </c>
    </row>
    <row r="16" spans="1:7" x14ac:dyDescent="0.3">
      <c r="A16" t="s">
        <v>1960</v>
      </c>
      <c r="B16" t="s">
        <v>255</v>
      </c>
      <c r="C16" t="s">
        <v>1567</v>
      </c>
      <c r="D16" t="s">
        <v>1915</v>
      </c>
      <c r="E16">
        <v>4</v>
      </c>
      <c r="G16">
        <v>372.16</v>
      </c>
    </row>
    <row r="17" spans="1:7" x14ac:dyDescent="0.3">
      <c r="A17" t="s">
        <v>1961</v>
      </c>
      <c r="B17" t="s">
        <v>176</v>
      </c>
      <c r="C17" t="s">
        <v>1633</v>
      </c>
      <c r="D17" t="s">
        <v>1899</v>
      </c>
      <c r="E17">
        <v>1</v>
      </c>
      <c r="G17">
        <v>135.18</v>
      </c>
    </row>
    <row r="18" spans="1:7" x14ac:dyDescent="0.3">
      <c r="A18" t="s">
        <v>1962</v>
      </c>
      <c r="B18" t="s">
        <v>212</v>
      </c>
      <c r="C18" t="s">
        <v>1590</v>
      </c>
      <c r="D18" t="s">
        <v>1930</v>
      </c>
      <c r="E18">
        <v>4</v>
      </c>
      <c r="G18">
        <v>1426.77</v>
      </c>
    </row>
    <row r="19" spans="1:7" x14ac:dyDescent="0.3">
      <c r="A19" t="s">
        <v>1963</v>
      </c>
      <c r="B19" t="s">
        <v>107</v>
      </c>
      <c r="C19" t="s">
        <v>1581</v>
      </c>
      <c r="D19" t="s">
        <v>1908</v>
      </c>
      <c r="E19">
        <v>2</v>
      </c>
      <c r="G19">
        <v>435.54</v>
      </c>
    </row>
    <row r="20" spans="1:7" x14ac:dyDescent="0.3">
      <c r="A20" t="s">
        <v>1964</v>
      </c>
      <c r="B20" t="s">
        <v>85</v>
      </c>
      <c r="C20" t="s">
        <v>1556</v>
      </c>
      <c r="D20" t="s">
        <v>1883</v>
      </c>
      <c r="E20">
        <v>4</v>
      </c>
      <c r="G20">
        <v>997.58</v>
      </c>
    </row>
    <row r="21" spans="1:7" x14ac:dyDescent="0.3">
      <c r="A21" t="s">
        <v>1965</v>
      </c>
      <c r="B21" t="s">
        <v>288</v>
      </c>
      <c r="C21" t="s">
        <v>1597</v>
      </c>
      <c r="D21" t="s">
        <v>1883</v>
      </c>
      <c r="E21">
        <v>4</v>
      </c>
      <c r="G21">
        <v>1434.23</v>
      </c>
    </row>
    <row r="22" spans="1:7" x14ac:dyDescent="0.3">
      <c r="A22" t="s">
        <v>1966</v>
      </c>
      <c r="B22" t="s">
        <v>96</v>
      </c>
      <c r="C22" t="s">
        <v>1639</v>
      </c>
      <c r="D22" t="s">
        <v>1925</v>
      </c>
      <c r="E22">
        <v>4</v>
      </c>
      <c r="G22">
        <v>632.74</v>
      </c>
    </row>
    <row r="23" spans="1:7" x14ac:dyDescent="0.3">
      <c r="A23" t="s">
        <v>1967</v>
      </c>
      <c r="B23" t="s">
        <v>34</v>
      </c>
      <c r="C23" t="s">
        <v>1616</v>
      </c>
      <c r="D23" t="s">
        <v>1927</v>
      </c>
      <c r="E23">
        <v>1</v>
      </c>
      <c r="G23">
        <v>214.3</v>
      </c>
    </row>
    <row r="24" spans="1:7" x14ac:dyDescent="0.3">
      <c r="A24" t="s">
        <v>1968</v>
      </c>
      <c r="B24" t="s">
        <v>354</v>
      </c>
      <c r="C24" t="s">
        <v>1619</v>
      </c>
      <c r="D24" t="s">
        <v>1895</v>
      </c>
      <c r="E24">
        <v>5</v>
      </c>
      <c r="G24">
        <v>2018.39</v>
      </c>
    </row>
    <row r="25" spans="1:7" x14ac:dyDescent="0.3">
      <c r="A25" t="s">
        <v>1969</v>
      </c>
      <c r="B25" t="s">
        <v>46</v>
      </c>
      <c r="C25" t="s">
        <v>1636</v>
      </c>
      <c r="D25" t="s">
        <v>1939</v>
      </c>
      <c r="E25">
        <v>3</v>
      </c>
      <c r="G25">
        <v>1240.73</v>
      </c>
    </row>
    <row r="26" spans="1:7" x14ac:dyDescent="0.3">
      <c r="A26" t="s">
        <v>1970</v>
      </c>
      <c r="B26" t="s">
        <v>325</v>
      </c>
      <c r="C26" t="s">
        <v>1633</v>
      </c>
      <c r="D26" t="s">
        <v>1933</v>
      </c>
      <c r="E26">
        <v>3</v>
      </c>
      <c r="G26">
        <v>1047.52</v>
      </c>
    </row>
    <row r="27" spans="1:7" x14ac:dyDescent="0.3">
      <c r="A27" t="s">
        <v>1971</v>
      </c>
      <c r="B27" t="s">
        <v>96</v>
      </c>
      <c r="C27" t="s">
        <v>1643</v>
      </c>
      <c r="D27" t="s">
        <v>1933</v>
      </c>
      <c r="E27">
        <v>2</v>
      </c>
      <c r="G27">
        <v>263.86</v>
      </c>
    </row>
    <row r="28" spans="1:7" x14ac:dyDescent="0.3">
      <c r="A28" t="s">
        <v>1972</v>
      </c>
      <c r="B28" t="s">
        <v>176</v>
      </c>
      <c r="C28" t="s">
        <v>1563</v>
      </c>
      <c r="D28" t="s">
        <v>1899</v>
      </c>
      <c r="E28">
        <v>4</v>
      </c>
      <c r="G28">
        <v>625.14</v>
      </c>
    </row>
    <row r="29" spans="1:7" x14ac:dyDescent="0.3">
      <c r="A29" t="s">
        <v>1973</v>
      </c>
      <c r="B29" t="s">
        <v>70</v>
      </c>
      <c r="C29" t="s">
        <v>1546</v>
      </c>
      <c r="D29" t="s">
        <v>1927</v>
      </c>
      <c r="E29">
        <v>1</v>
      </c>
      <c r="G29">
        <v>182.27</v>
      </c>
    </row>
    <row r="30" spans="1:7" x14ac:dyDescent="0.3">
      <c r="A30" t="s">
        <v>1974</v>
      </c>
      <c r="B30" t="s">
        <v>85</v>
      </c>
      <c r="C30" t="s">
        <v>1626</v>
      </c>
      <c r="D30" t="s">
        <v>1936</v>
      </c>
      <c r="E30">
        <v>4</v>
      </c>
      <c r="G30">
        <v>827.16</v>
      </c>
    </row>
    <row r="31" spans="1:7" x14ac:dyDescent="0.3">
      <c r="A31" t="s">
        <v>1975</v>
      </c>
      <c r="B31" t="s">
        <v>55</v>
      </c>
      <c r="C31" t="s">
        <v>1576</v>
      </c>
      <c r="D31" t="s">
        <v>1923</v>
      </c>
      <c r="E31">
        <v>3</v>
      </c>
      <c r="G31">
        <v>166.79</v>
      </c>
    </row>
    <row r="32" spans="1:7" x14ac:dyDescent="0.3">
      <c r="A32" t="s">
        <v>1976</v>
      </c>
      <c r="B32" t="s">
        <v>92</v>
      </c>
      <c r="C32" t="s">
        <v>1590</v>
      </c>
      <c r="D32" t="s">
        <v>1908</v>
      </c>
      <c r="E32">
        <v>5</v>
      </c>
      <c r="G32">
        <v>331.06</v>
      </c>
    </row>
    <row r="33" spans="1:7" x14ac:dyDescent="0.3">
      <c r="A33" t="s">
        <v>1977</v>
      </c>
      <c r="B33" t="s">
        <v>96</v>
      </c>
      <c r="C33" t="s">
        <v>1601</v>
      </c>
      <c r="D33" t="s">
        <v>1878</v>
      </c>
      <c r="E33">
        <v>4</v>
      </c>
      <c r="G33">
        <v>1485.46</v>
      </c>
    </row>
    <row r="34" spans="1:7" x14ac:dyDescent="0.3">
      <c r="A34" t="s">
        <v>1978</v>
      </c>
      <c r="B34" t="s">
        <v>92</v>
      </c>
      <c r="C34" t="s">
        <v>1979</v>
      </c>
      <c r="D34" t="s">
        <v>1905</v>
      </c>
      <c r="E34">
        <v>1</v>
      </c>
      <c r="G34">
        <v>77.150000000000006</v>
      </c>
    </row>
    <row r="35" spans="1:7" x14ac:dyDescent="0.3">
      <c r="A35" t="s">
        <v>1980</v>
      </c>
      <c r="B35" t="s">
        <v>296</v>
      </c>
      <c r="C35" t="s">
        <v>1646</v>
      </c>
      <c r="D35" t="s">
        <v>1899</v>
      </c>
      <c r="E35">
        <v>3</v>
      </c>
      <c r="G35">
        <v>1263.68</v>
      </c>
    </row>
    <row r="36" spans="1:7" x14ac:dyDescent="0.3">
      <c r="A36" t="s">
        <v>1981</v>
      </c>
      <c r="B36" t="s">
        <v>74</v>
      </c>
      <c r="C36" t="s">
        <v>1636</v>
      </c>
      <c r="D36" t="s">
        <v>1918</v>
      </c>
      <c r="E36">
        <v>2</v>
      </c>
      <c r="G36">
        <v>627.66</v>
      </c>
    </row>
    <row r="37" spans="1:7" x14ac:dyDescent="0.3">
      <c r="A37" t="s">
        <v>1982</v>
      </c>
      <c r="B37" t="s">
        <v>206</v>
      </c>
      <c r="C37" t="s">
        <v>1590</v>
      </c>
      <c r="D37" t="s">
        <v>1933</v>
      </c>
      <c r="E37">
        <v>4</v>
      </c>
      <c r="G37">
        <v>1130.8499999999999</v>
      </c>
    </row>
    <row r="38" spans="1:7" x14ac:dyDescent="0.3">
      <c r="A38" t="s">
        <v>1983</v>
      </c>
      <c r="B38" t="s">
        <v>189</v>
      </c>
      <c r="C38" t="s">
        <v>1639</v>
      </c>
      <c r="D38" t="s">
        <v>1933</v>
      </c>
      <c r="E38">
        <v>3</v>
      </c>
      <c r="G38">
        <v>580.92999999999995</v>
      </c>
    </row>
    <row r="39" spans="1:7" x14ac:dyDescent="0.3">
      <c r="A39" t="s">
        <v>1984</v>
      </c>
      <c r="B39" t="s">
        <v>111</v>
      </c>
      <c r="C39" t="s">
        <v>1585</v>
      </c>
      <c r="D39" t="s">
        <v>1927</v>
      </c>
      <c r="E39">
        <v>4</v>
      </c>
      <c r="G39">
        <v>483.65</v>
      </c>
    </row>
    <row r="40" spans="1:7" x14ac:dyDescent="0.3">
      <c r="A40" t="s">
        <v>1985</v>
      </c>
      <c r="B40" t="s">
        <v>92</v>
      </c>
      <c r="C40" t="s">
        <v>1639</v>
      </c>
      <c r="D40" t="s">
        <v>1927</v>
      </c>
      <c r="E40">
        <v>1</v>
      </c>
      <c r="G40">
        <v>280.93</v>
      </c>
    </row>
    <row r="41" spans="1:7" x14ac:dyDescent="0.3">
      <c r="A41" t="s">
        <v>1986</v>
      </c>
      <c r="B41" t="s">
        <v>172</v>
      </c>
      <c r="C41" t="s">
        <v>1622</v>
      </c>
      <c r="D41" t="s">
        <v>1918</v>
      </c>
      <c r="E41">
        <v>1</v>
      </c>
      <c r="G41">
        <v>386.77</v>
      </c>
    </row>
    <row r="42" spans="1:7" x14ac:dyDescent="0.3">
      <c r="A42" t="s">
        <v>1987</v>
      </c>
      <c r="B42" t="s">
        <v>154</v>
      </c>
      <c r="C42" t="s">
        <v>1604</v>
      </c>
      <c r="D42" t="s">
        <v>1892</v>
      </c>
      <c r="E42">
        <v>4</v>
      </c>
      <c r="G42">
        <v>1447.51</v>
      </c>
    </row>
    <row r="43" spans="1:7" x14ac:dyDescent="0.3">
      <c r="A43" t="s">
        <v>1988</v>
      </c>
      <c r="B43" t="s">
        <v>231</v>
      </c>
      <c r="C43" t="s">
        <v>1576</v>
      </c>
      <c r="D43" t="s">
        <v>1899</v>
      </c>
      <c r="E43">
        <v>3</v>
      </c>
      <c r="G43">
        <v>1203.6300000000001</v>
      </c>
    </row>
    <row r="44" spans="1:7" x14ac:dyDescent="0.3">
      <c r="A44" t="s">
        <v>1989</v>
      </c>
      <c r="B44" t="s">
        <v>100</v>
      </c>
      <c r="C44" t="s">
        <v>1622</v>
      </c>
      <c r="D44" t="s">
        <v>1930</v>
      </c>
      <c r="E44">
        <v>3</v>
      </c>
      <c r="G44">
        <v>618.86</v>
      </c>
    </row>
    <row r="45" spans="1:7" x14ac:dyDescent="0.3">
      <c r="A45" t="s">
        <v>1990</v>
      </c>
      <c r="B45" t="s">
        <v>218</v>
      </c>
      <c r="C45" t="s">
        <v>1571</v>
      </c>
      <c r="D45" t="s">
        <v>1883</v>
      </c>
      <c r="E45">
        <v>2</v>
      </c>
      <c r="G45">
        <v>854.54</v>
      </c>
    </row>
    <row r="46" spans="1:7" x14ac:dyDescent="0.3">
      <c r="A46" t="s">
        <v>1991</v>
      </c>
      <c r="B46" t="s">
        <v>329</v>
      </c>
      <c r="C46" t="s">
        <v>1601</v>
      </c>
      <c r="D46" t="s">
        <v>1908</v>
      </c>
      <c r="E46">
        <v>3</v>
      </c>
      <c r="G46">
        <v>922.98</v>
      </c>
    </row>
    <row r="47" spans="1:7" x14ac:dyDescent="0.3">
      <c r="A47" t="s">
        <v>1992</v>
      </c>
      <c r="B47" t="s">
        <v>24</v>
      </c>
      <c r="C47" t="s">
        <v>1629</v>
      </c>
      <c r="D47" t="s">
        <v>1883</v>
      </c>
      <c r="E47">
        <v>1</v>
      </c>
      <c r="G47">
        <v>229.67</v>
      </c>
    </row>
    <row r="48" spans="1:7" x14ac:dyDescent="0.3">
      <c r="A48" t="s">
        <v>1993</v>
      </c>
      <c r="B48" t="s">
        <v>70</v>
      </c>
      <c r="C48" t="s">
        <v>1585</v>
      </c>
      <c r="D48" t="s">
        <v>1878</v>
      </c>
      <c r="E48">
        <v>5</v>
      </c>
      <c r="G48">
        <v>2240.2199999999998</v>
      </c>
    </row>
    <row r="49" spans="1:7" x14ac:dyDescent="0.3">
      <c r="A49" t="s">
        <v>1994</v>
      </c>
      <c r="B49" t="s">
        <v>157</v>
      </c>
      <c r="C49" t="s">
        <v>1652</v>
      </c>
      <c r="D49" t="s">
        <v>1920</v>
      </c>
      <c r="E49">
        <v>2</v>
      </c>
      <c r="G49">
        <v>382.03</v>
      </c>
    </row>
    <row r="50" spans="1:7" x14ac:dyDescent="0.3">
      <c r="A50" t="s">
        <v>1995</v>
      </c>
      <c r="B50" t="s">
        <v>329</v>
      </c>
      <c r="C50" t="s">
        <v>1604</v>
      </c>
      <c r="D50" t="s">
        <v>1918</v>
      </c>
      <c r="E50">
        <v>4</v>
      </c>
      <c r="G50">
        <v>1390.82</v>
      </c>
    </row>
    <row r="51" spans="1:7" x14ac:dyDescent="0.3">
      <c r="A51" t="s">
        <v>1996</v>
      </c>
      <c r="B51" t="s">
        <v>85</v>
      </c>
      <c r="C51" t="s">
        <v>1597</v>
      </c>
      <c r="D51" t="s">
        <v>1923</v>
      </c>
      <c r="E51">
        <v>4</v>
      </c>
      <c r="G51">
        <v>1243.5899999999999</v>
      </c>
    </row>
    <row r="52" spans="1:7" x14ac:dyDescent="0.3">
      <c r="A52" t="s">
        <v>1997</v>
      </c>
      <c r="B52" t="s">
        <v>179</v>
      </c>
      <c r="C52" t="s">
        <v>1608</v>
      </c>
      <c r="D52" t="s">
        <v>1912</v>
      </c>
      <c r="E52">
        <v>1</v>
      </c>
      <c r="G52">
        <v>64.63</v>
      </c>
    </row>
    <row r="53" spans="1:7" x14ac:dyDescent="0.3">
      <c r="A53" t="s">
        <v>1998</v>
      </c>
      <c r="B53" t="s">
        <v>85</v>
      </c>
      <c r="C53" t="s">
        <v>1567</v>
      </c>
      <c r="D53" t="s">
        <v>1912</v>
      </c>
      <c r="E53">
        <v>2</v>
      </c>
      <c r="G53">
        <v>647.57000000000005</v>
      </c>
    </row>
    <row r="54" spans="1:7" x14ac:dyDescent="0.3">
      <c r="A54" t="s">
        <v>1999</v>
      </c>
      <c r="B54" t="s">
        <v>275</v>
      </c>
      <c r="C54" t="s">
        <v>1616</v>
      </c>
      <c r="D54" t="s">
        <v>1878</v>
      </c>
      <c r="E54">
        <v>2</v>
      </c>
      <c r="G54">
        <v>357.78</v>
      </c>
    </row>
    <row r="55" spans="1:7" x14ac:dyDescent="0.3">
      <c r="A55" t="s">
        <v>2000</v>
      </c>
      <c r="B55" t="s">
        <v>118</v>
      </c>
      <c r="C55" t="s">
        <v>1626</v>
      </c>
      <c r="D55" t="s">
        <v>1905</v>
      </c>
      <c r="E55">
        <v>4</v>
      </c>
      <c r="G55">
        <v>1211.3499999999999</v>
      </c>
    </row>
    <row r="56" spans="1:7" x14ac:dyDescent="0.3">
      <c r="A56" t="s">
        <v>2001</v>
      </c>
      <c r="B56" t="s">
        <v>318</v>
      </c>
      <c r="C56" t="s">
        <v>1594</v>
      </c>
      <c r="D56" t="s">
        <v>1883</v>
      </c>
      <c r="E56">
        <v>5</v>
      </c>
      <c r="G56">
        <v>702.3</v>
      </c>
    </row>
    <row r="57" spans="1:7" x14ac:dyDescent="0.3">
      <c r="A57" t="s">
        <v>2002</v>
      </c>
      <c r="B57" t="s">
        <v>46</v>
      </c>
      <c r="C57" t="s">
        <v>1551</v>
      </c>
      <c r="D57" t="s">
        <v>1887</v>
      </c>
      <c r="E57">
        <v>5</v>
      </c>
      <c r="G57">
        <v>1403.07</v>
      </c>
    </row>
    <row r="58" spans="1:7" x14ac:dyDescent="0.3">
      <c r="A58" t="s">
        <v>2003</v>
      </c>
      <c r="B58" t="s">
        <v>262</v>
      </c>
      <c r="C58" t="s">
        <v>1652</v>
      </c>
      <c r="D58" t="s">
        <v>1887</v>
      </c>
      <c r="E58">
        <v>1</v>
      </c>
      <c r="G58">
        <v>343.47</v>
      </c>
    </row>
    <row r="59" spans="1:7" x14ac:dyDescent="0.3">
      <c r="A59" t="s">
        <v>2004</v>
      </c>
      <c r="B59" t="s">
        <v>265</v>
      </c>
      <c r="C59" t="s">
        <v>1604</v>
      </c>
      <c r="D59" t="s">
        <v>1878</v>
      </c>
      <c r="E59">
        <v>5</v>
      </c>
      <c r="G59">
        <v>324.42</v>
      </c>
    </row>
    <row r="60" spans="1:7" x14ac:dyDescent="0.3">
      <c r="A60" t="s">
        <v>2005</v>
      </c>
      <c r="B60" t="s">
        <v>122</v>
      </c>
      <c r="C60" t="s">
        <v>1622</v>
      </c>
      <c r="D60" t="s">
        <v>1927</v>
      </c>
      <c r="E60">
        <v>2</v>
      </c>
      <c r="G60">
        <v>963.41</v>
      </c>
    </row>
    <row r="61" spans="1:7" x14ac:dyDescent="0.3">
      <c r="A61" t="s">
        <v>2006</v>
      </c>
      <c r="B61" t="s">
        <v>339</v>
      </c>
      <c r="C61" t="s">
        <v>1639</v>
      </c>
      <c r="D61" t="s">
        <v>1912</v>
      </c>
      <c r="E61">
        <v>1</v>
      </c>
      <c r="G61">
        <v>362.35</v>
      </c>
    </row>
    <row r="62" spans="1:7" x14ac:dyDescent="0.3">
      <c r="A62" t="s">
        <v>2007</v>
      </c>
      <c r="B62" t="s">
        <v>245</v>
      </c>
      <c r="C62" t="s">
        <v>1649</v>
      </c>
      <c r="D62" t="s">
        <v>1939</v>
      </c>
      <c r="E62">
        <v>1</v>
      </c>
      <c r="G62">
        <v>444.7</v>
      </c>
    </row>
    <row r="63" spans="1:7" x14ac:dyDescent="0.3">
      <c r="A63" t="s">
        <v>2008</v>
      </c>
      <c r="B63" t="s">
        <v>195</v>
      </c>
      <c r="C63" t="s">
        <v>1551</v>
      </c>
      <c r="D63" t="s">
        <v>1930</v>
      </c>
      <c r="E63">
        <v>3</v>
      </c>
      <c r="G63">
        <v>1128.05</v>
      </c>
    </row>
    <row r="64" spans="1:7" x14ac:dyDescent="0.3">
      <c r="A64" t="s">
        <v>2009</v>
      </c>
      <c r="B64" t="s">
        <v>125</v>
      </c>
      <c r="C64" t="s">
        <v>1619</v>
      </c>
      <c r="D64" t="s">
        <v>1892</v>
      </c>
      <c r="E64">
        <v>1</v>
      </c>
      <c r="G64">
        <v>486.93</v>
      </c>
    </row>
    <row r="65" spans="1:7" x14ac:dyDescent="0.3">
      <c r="A65" t="s">
        <v>2010</v>
      </c>
      <c r="B65" t="s">
        <v>248</v>
      </c>
      <c r="C65" t="s">
        <v>1546</v>
      </c>
      <c r="D65" t="s">
        <v>1936</v>
      </c>
      <c r="E65">
        <v>4</v>
      </c>
      <c r="G65">
        <v>1629.73</v>
      </c>
    </row>
    <row r="66" spans="1:7" x14ac:dyDescent="0.3">
      <c r="A66" t="s">
        <v>2011</v>
      </c>
      <c r="B66" t="s">
        <v>134</v>
      </c>
      <c r="C66" t="s">
        <v>1616</v>
      </c>
      <c r="D66" t="s">
        <v>1925</v>
      </c>
      <c r="E66">
        <v>1</v>
      </c>
      <c r="G66">
        <v>87.46</v>
      </c>
    </row>
    <row r="67" spans="1:7" x14ac:dyDescent="0.3">
      <c r="A67" t="s">
        <v>2012</v>
      </c>
      <c r="B67" t="s">
        <v>325</v>
      </c>
      <c r="C67" t="s">
        <v>1646</v>
      </c>
      <c r="D67" t="s">
        <v>1923</v>
      </c>
      <c r="E67">
        <v>1</v>
      </c>
      <c r="G67">
        <v>491.46</v>
      </c>
    </row>
    <row r="68" spans="1:7" x14ac:dyDescent="0.3">
      <c r="A68" t="s">
        <v>2013</v>
      </c>
      <c r="B68" t="s">
        <v>339</v>
      </c>
      <c r="C68" t="s">
        <v>1608</v>
      </c>
      <c r="D68" t="s">
        <v>1939</v>
      </c>
      <c r="E68">
        <v>4</v>
      </c>
      <c r="G68">
        <v>641.47</v>
      </c>
    </row>
    <row r="69" spans="1:7" x14ac:dyDescent="0.3">
      <c r="A69" t="s">
        <v>2014</v>
      </c>
      <c r="B69" t="s">
        <v>282</v>
      </c>
      <c r="C69" t="s">
        <v>1571</v>
      </c>
      <c r="D69" t="s">
        <v>1920</v>
      </c>
      <c r="E69">
        <v>2</v>
      </c>
      <c r="G69">
        <v>453.28</v>
      </c>
    </row>
    <row r="70" spans="1:7" x14ac:dyDescent="0.3">
      <c r="A70" t="s">
        <v>2015</v>
      </c>
      <c r="B70" t="s">
        <v>154</v>
      </c>
      <c r="C70" t="s">
        <v>1649</v>
      </c>
      <c r="D70" t="s">
        <v>1902</v>
      </c>
      <c r="E70">
        <v>2</v>
      </c>
      <c r="G70">
        <v>185.31</v>
      </c>
    </row>
    <row r="71" spans="1:7" x14ac:dyDescent="0.3">
      <c r="A71" t="s">
        <v>2016</v>
      </c>
      <c r="B71" t="s">
        <v>164</v>
      </c>
      <c r="C71" t="s">
        <v>1604</v>
      </c>
      <c r="D71" t="s">
        <v>1925</v>
      </c>
      <c r="E71">
        <v>5</v>
      </c>
      <c r="G71">
        <v>1406.74</v>
      </c>
    </row>
    <row r="72" spans="1:7" x14ac:dyDescent="0.3">
      <c r="A72" t="s">
        <v>2017</v>
      </c>
      <c r="B72" t="s">
        <v>311</v>
      </c>
      <c r="C72" t="s">
        <v>1604</v>
      </c>
      <c r="D72" t="s">
        <v>1878</v>
      </c>
      <c r="E72">
        <v>5</v>
      </c>
      <c r="G72">
        <v>2224.75</v>
      </c>
    </row>
    <row r="73" spans="1:7" x14ac:dyDescent="0.3">
      <c r="A73" t="s">
        <v>2018</v>
      </c>
      <c r="B73" t="s">
        <v>279</v>
      </c>
      <c r="C73" t="s">
        <v>2019</v>
      </c>
      <c r="D73" t="s">
        <v>1895</v>
      </c>
      <c r="E73">
        <v>1</v>
      </c>
      <c r="G73">
        <v>145.88</v>
      </c>
    </row>
    <row r="74" spans="1:7" x14ac:dyDescent="0.3">
      <c r="A74" t="s">
        <v>2020</v>
      </c>
      <c r="B74" t="s">
        <v>251</v>
      </c>
      <c r="C74" t="s">
        <v>1616</v>
      </c>
      <c r="D74" t="s">
        <v>1895</v>
      </c>
      <c r="E74">
        <v>5</v>
      </c>
      <c r="G74">
        <v>1297.3499999999999</v>
      </c>
    </row>
    <row r="75" spans="1:7" x14ac:dyDescent="0.3">
      <c r="A75" t="s">
        <v>2021</v>
      </c>
      <c r="B75" t="s">
        <v>182</v>
      </c>
      <c r="C75" t="s">
        <v>1567</v>
      </c>
      <c r="D75" t="s">
        <v>1878</v>
      </c>
      <c r="E75">
        <v>5</v>
      </c>
      <c r="G75">
        <v>1199.06</v>
      </c>
    </row>
    <row r="76" spans="1:7" x14ac:dyDescent="0.3">
      <c r="A76" t="s">
        <v>2022</v>
      </c>
      <c r="B76" t="s">
        <v>55</v>
      </c>
      <c r="C76" t="s">
        <v>1601</v>
      </c>
      <c r="D76" t="s">
        <v>1912</v>
      </c>
      <c r="E76">
        <v>2</v>
      </c>
      <c r="G76">
        <v>316.75</v>
      </c>
    </row>
    <row r="77" spans="1:7" x14ac:dyDescent="0.3">
      <c r="A77" t="s">
        <v>2023</v>
      </c>
      <c r="B77" t="s">
        <v>172</v>
      </c>
      <c r="C77" t="s">
        <v>1585</v>
      </c>
      <c r="D77" t="s">
        <v>1927</v>
      </c>
      <c r="E77">
        <v>4</v>
      </c>
      <c r="G77">
        <v>1560.36</v>
      </c>
    </row>
    <row r="78" spans="1:7" x14ac:dyDescent="0.3">
      <c r="A78" t="s">
        <v>2024</v>
      </c>
      <c r="B78" t="s">
        <v>141</v>
      </c>
      <c r="C78" t="s">
        <v>1636</v>
      </c>
      <c r="D78" t="s">
        <v>1892</v>
      </c>
      <c r="E78">
        <v>1</v>
      </c>
      <c r="G78">
        <v>494.03</v>
      </c>
    </row>
    <row r="79" spans="1:7" x14ac:dyDescent="0.3">
      <c r="A79" t="s">
        <v>2025</v>
      </c>
      <c r="B79" t="s">
        <v>125</v>
      </c>
      <c r="C79" t="s">
        <v>1652</v>
      </c>
      <c r="D79" t="s">
        <v>1930</v>
      </c>
      <c r="E79">
        <v>1</v>
      </c>
      <c r="G79">
        <v>53.85</v>
      </c>
    </row>
    <row r="80" spans="1:7" x14ac:dyDescent="0.3">
      <c r="A80" t="s">
        <v>2026</v>
      </c>
      <c r="B80" t="s">
        <v>222</v>
      </c>
      <c r="C80" t="s">
        <v>1646</v>
      </c>
      <c r="D80" t="s">
        <v>1883</v>
      </c>
      <c r="E80">
        <v>4</v>
      </c>
      <c r="G80">
        <v>626.20000000000005</v>
      </c>
    </row>
    <row r="81" spans="1:7" x14ac:dyDescent="0.3">
      <c r="A81" t="s">
        <v>2027</v>
      </c>
      <c r="B81" t="s">
        <v>272</v>
      </c>
      <c r="C81" t="s">
        <v>1563</v>
      </c>
      <c r="D81" t="s">
        <v>1915</v>
      </c>
      <c r="E81">
        <v>2</v>
      </c>
      <c r="G81">
        <v>171.38</v>
      </c>
    </row>
    <row r="82" spans="1:7" x14ac:dyDescent="0.3">
      <c r="A82" t="s">
        <v>2028</v>
      </c>
      <c r="B82" t="s">
        <v>218</v>
      </c>
      <c r="C82" t="s">
        <v>1979</v>
      </c>
      <c r="D82" t="s">
        <v>1930</v>
      </c>
      <c r="E82">
        <v>4</v>
      </c>
      <c r="G82">
        <v>554.25</v>
      </c>
    </row>
    <row r="83" spans="1:7" x14ac:dyDescent="0.3">
      <c r="A83" t="s">
        <v>2029</v>
      </c>
      <c r="B83" t="s">
        <v>148</v>
      </c>
      <c r="C83" t="s">
        <v>1622</v>
      </c>
      <c r="D83" t="s">
        <v>1923</v>
      </c>
      <c r="E83">
        <v>1</v>
      </c>
      <c r="G83">
        <v>267.97000000000003</v>
      </c>
    </row>
    <row r="84" spans="1:7" x14ac:dyDescent="0.3">
      <c r="A84" t="s">
        <v>2030</v>
      </c>
      <c r="B84" t="s">
        <v>245</v>
      </c>
      <c r="C84" t="s">
        <v>1551</v>
      </c>
      <c r="D84" t="s">
        <v>1933</v>
      </c>
      <c r="E84">
        <v>4</v>
      </c>
      <c r="G84">
        <v>1076.5999999999999</v>
      </c>
    </row>
    <row r="85" spans="1:7" x14ac:dyDescent="0.3">
      <c r="A85" t="s">
        <v>2031</v>
      </c>
      <c r="B85" t="s">
        <v>272</v>
      </c>
      <c r="C85" t="s">
        <v>1546</v>
      </c>
      <c r="D85" t="s">
        <v>1920</v>
      </c>
      <c r="E85">
        <v>1</v>
      </c>
      <c r="G85">
        <v>458.59</v>
      </c>
    </row>
    <row r="86" spans="1:7" x14ac:dyDescent="0.3">
      <c r="A86" t="s">
        <v>2032</v>
      </c>
      <c r="B86" t="s">
        <v>138</v>
      </c>
      <c r="C86" t="s">
        <v>1646</v>
      </c>
      <c r="D86" t="s">
        <v>1930</v>
      </c>
      <c r="E86">
        <v>1</v>
      </c>
      <c r="G86">
        <v>212.76</v>
      </c>
    </row>
    <row r="87" spans="1:7" x14ac:dyDescent="0.3">
      <c r="A87" t="s">
        <v>2033</v>
      </c>
      <c r="B87" t="s">
        <v>218</v>
      </c>
      <c r="C87" t="s">
        <v>1636</v>
      </c>
      <c r="D87" t="s">
        <v>1895</v>
      </c>
      <c r="E87">
        <v>5</v>
      </c>
      <c r="G87">
        <v>337.21</v>
      </c>
    </row>
    <row r="88" spans="1:7" x14ac:dyDescent="0.3">
      <c r="A88" t="s">
        <v>2034</v>
      </c>
      <c r="B88" t="s">
        <v>189</v>
      </c>
      <c r="C88" t="s">
        <v>1576</v>
      </c>
      <c r="D88" t="s">
        <v>1936</v>
      </c>
      <c r="E88">
        <v>1</v>
      </c>
      <c r="G88">
        <v>61.89</v>
      </c>
    </row>
    <row r="89" spans="1:7" x14ac:dyDescent="0.3">
      <c r="A89" t="s">
        <v>2035</v>
      </c>
      <c r="B89" t="s">
        <v>29</v>
      </c>
      <c r="C89" t="s">
        <v>1643</v>
      </c>
      <c r="D89" t="s">
        <v>1878</v>
      </c>
      <c r="E89">
        <v>1</v>
      </c>
      <c r="G89">
        <v>487.44</v>
      </c>
    </row>
    <row r="90" spans="1:7" x14ac:dyDescent="0.3">
      <c r="A90" t="s">
        <v>2036</v>
      </c>
      <c r="B90" t="s">
        <v>272</v>
      </c>
      <c r="C90" t="s">
        <v>1652</v>
      </c>
      <c r="D90" t="s">
        <v>1918</v>
      </c>
      <c r="E90">
        <v>5</v>
      </c>
      <c r="G90">
        <v>1372.7</v>
      </c>
    </row>
    <row r="91" spans="1:7" x14ac:dyDescent="0.3">
      <c r="A91" t="s">
        <v>2037</v>
      </c>
      <c r="B91" t="s">
        <v>114</v>
      </c>
      <c r="C91" t="s">
        <v>1629</v>
      </c>
      <c r="D91" t="s">
        <v>1908</v>
      </c>
      <c r="E91">
        <v>1</v>
      </c>
      <c r="G91">
        <v>373.9</v>
      </c>
    </row>
    <row r="92" spans="1:7" x14ac:dyDescent="0.3">
      <c r="A92" t="s">
        <v>2038</v>
      </c>
      <c r="B92" t="s">
        <v>212</v>
      </c>
      <c r="C92" t="s">
        <v>1594</v>
      </c>
      <c r="D92" t="s">
        <v>1933</v>
      </c>
      <c r="E92">
        <v>4</v>
      </c>
      <c r="G92">
        <v>699.81</v>
      </c>
    </row>
    <row r="93" spans="1:7" x14ac:dyDescent="0.3">
      <c r="A93" t="s">
        <v>2039</v>
      </c>
      <c r="B93" t="s">
        <v>228</v>
      </c>
      <c r="C93" t="s">
        <v>1616</v>
      </c>
      <c r="D93" t="s">
        <v>1883</v>
      </c>
      <c r="E93">
        <v>5</v>
      </c>
      <c r="G93">
        <v>1690.14</v>
      </c>
    </row>
    <row r="94" spans="1:7" x14ac:dyDescent="0.3">
      <c r="A94" t="s">
        <v>2040</v>
      </c>
      <c r="B94" t="s">
        <v>318</v>
      </c>
      <c r="C94" t="s">
        <v>1546</v>
      </c>
      <c r="D94" t="s">
        <v>1895</v>
      </c>
      <c r="E94">
        <v>4</v>
      </c>
      <c r="G94">
        <v>1193.18</v>
      </c>
    </row>
    <row r="95" spans="1:7" x14ac:dyDescent="0.3">
      <c r="A95" t="s">
        <v>2041</v>
      </c>
      <c r="B95" t="s">
        <v>275</v>
      </c>
      <c r="C95" t="s">
        <v>2019</v>
      </c>
      <c r="D95" t="s">
        <v>1887</v>
      </c>
      <c r="E95">
        <v>2</v>
      </c>
      <c r="G95">
        <v>867.64</v>
      </c>
    </row>
    <row r="96" spans="1:7" x14ac:dyDescent="0.3">
      <c r="A96" t="s">
        <v>2042</v>
      </c>
      <c r="B96" t="s">
        <v>234</v>
      </c>
      <c r="C96" t="s">
        <v>1604</v>
      </c>
      <c r="D96" t="s">
        <v>1912</v>
      </c>
      <c r="E96">
        <v>4</v>
      </c>
      <c r="G96">
        <v>1156.94</v>
      </c>
    </row>
    <row r="97" spans="1:7" x14ac:dyDescent="0.3">
      <c r="A97" t="s">
        <v>2043</v>
      </c>
      <c r="B97" t="s">
        <v>118</v>
      </c>
      <c r="C97" t="s">
        <v>1636</v>
      </c>
      <c r="D97" t="s">
        <v>1930</v>
      </c>
      <c r="E97">
        <v>4</v>
      </c>
      <c r="G97">
        <v>962.75</v>
      </c>
    </row>
    <row r="98" spans="1:7" x14ac:dyDescent="0.3">
      <c r="A98" t="s">
        <v>2044</v>
      </c>
      <c r="B98" t="s">
        <v>107</v>
      </c>
      <c r="C98" t="s">
        <v>1576</v>
      </c>
      <c r="D98" t="s">
        <v>1892</v>
      </c>
      <c r="E98">
        <v>2</v>
      </c>
      <c r="G98">
        <v>122</v>
      </c>
    </row>
    <row r="99" spans="1:7" x14ac:dyDescent="0.3">
      <c r="A99" t="s">
        <v>2045</v>
      </c>
      <c r="B99" t="s">
        <v>255</v>
      </c>
      <c r="C99" t="s">
        <v>1608</v>
      </c>
      <c r="D99" t="s">
        <v>1933</v>
      </c>
      <c r="E99">
        <v>2</v>
      </c>
      <c r="G99">
        <v>389.72</v>
      </c>
    </row>
    <row r="100" spans="1:7" x14ac:dyDescent="0.3">
      <c r="A100" t="s">
        <v>2046</v>
      </c>
      <c r="B100" t="s">
        <v>245</v>
      </c>
      <c r="C100" t="s">
        <v>1616</v>
      </c>
      <c r="D100" t="s">
        <v>1883</v>
      </c>
      <c r="E100">
        <v>4</v>
      </c>
      <c r="G100">
        <v>899.07</v>
      </c>
    </row>
    <row r="101" spans="1:7" x14ac:dyDescent="0.3">
      <c r="A101" t="s">
        <v>2047</v>
      </c>
      <c r="B101" t="s">
        <v>342</v>
      </c>
      <c r="C101" t="s">
        <v>1576</v>
      </c>
      <c r="D101" t="s">
        <v>1939</v>
      </c>
      <c r="E101">
        <v>5</v>
      </c>
      <c r="G101">
        <v>1225.82</v>
      </c>
    </row>
    <row r="102" spans="1:7" x14ac:dyDescent="0.3">
      <c r="A102" t="s">
        <v>2048</v>
      </c>
      <c r="B102" t="s">
        <v>189</v>
      </c>
      <c r="C102" t="s">
        <v>1546</v>
      </c>
      <c r="D102" t="s">
        <v>1925</v>
      </c>
      <c r="E102">
        <v>1</v>
      </c>
      <c r="G102">
        <v>235.95</v>
      </c>
    </row>
    <row r="103" spans="1:7" x14ac:dyDescent="0.3">
      <c r="A103" t="s">
        <v>2049</v>
      </c>
      <c r="B103" t="s">
        <v>92</v>
      </c>
      <c r="C103" t="s">
        <v>1601</v>
      </c>
      <c r="D103" t="s">
        <v>1918</v>
      </c>
      <c r="E103">
        <v>2</v>
      </c>
      <c r="G103">
        <v>721.04</v>
      </c>
    </row>
    <row r="104" spans="1:7" x14ac:dyDescent="0.3">
      <c r="A104" t="s">
        <v>2050</v>
      </c>
      <c r="B104" t="s">
        <v>96</v>
      </c>
      <c r="C104" t="s">
        <v>1601</v>
      </c>
      <c r="D104" t="s">
        <v>1902</v>
      </c>
      <c r="E104">
        <v>3</v>
      </c>
      <c r="G104">
        <v>901.94</v>
      </c>
    </row>
    <row r="105" spans="1:7" x14ac:dyDescent="0.3">
      <c r="A105" t="s">
        <v>2051</v>
      </c>
      <c r="B105" t="s">
        <v>222</v>
      </c>
      <c r="C105" t="s">
        <v>1616</v>
      </c>
      <c r="D105" t="s">
        <v>1902</v>
      </c>
      <c r="E105">
        <v>5</v>
      </c>
      <c r="G105">
        <v>655.62</v>
      </c>
    </row>
    <row r="106" spans="1:7" x14ac:dyDescent="0.3">
      <c r="A106" t="s">
        <v>2052</v>
      </c>
      <c r="B106" t="s">
        <v>55</v>
      </c>
      <c r="C106" t="s">
        <v>1585</v>
      </c>
      <c r="D106" t="s">
        <v>1899</v>
      </c>
      <c r="E106">
        <v>3</v>
      </c>
      <c r="G106">
        <v>502.91</v>
      </c>
    </row>
    <row r="107" spans="1:7" x14ac:dyDescent="0.3">
      <c r="A107" t="s">
        <v>2053</v>
      </c>
      <c r="B107" t="s">
        <v>168</v>
      </c>
      <c r="C107" t="s">
        <v>1649</v>
      </c>
      <c r="D107" t="s">
        <v>1895</v>
      </c>
      <c r="E107">
        <v>4</v>
      </c>
      <c r="G107">
        <v>1216.1600000000001</v>
      </c>
    </row>
    <row r="108" spans="1:7" x14ac:dyDescent="0.3">
      <c r="A108" t="s">
        <v>2054</v>
      </c>
      <c r="B108" t="s">
        <v>336</v>
      </c>
      <c r="C108" t="s">
        <v>1563</v>
      </c>
      <c r="D108" t="s">
        <v>1899</v>
      </c>
      <c r="E108">
        <v>2</v>
      </c>
      <c r="G108">
        <v>507.4</v>
      </c>
    </row>
    <row r="109" spans="1:7" x14ac:dyDescent="0.3">
      <c r="A109" t="s">
        <v>2055</v>
      </c>
      <c r="B109" t="s">
        <v>164</v>
      </c>
      <c r="C109" t="s">
        <v>1633</v>
      </c>
      <c r="D109" t="s">
        <v>1933</v>
      </c>
      <c r="E109">
        <v>4</v>
      </c>
      <c r="G109">
        <v>1982.28</v>
      </c>
    </row>
    <row r="110" spans="1:7" x14ac:dyDescent="0.3">
      <c r="A110" t="s">
        <v>2056</v>
      </c>
      <c r="B110" t="s">
        <v>265</v>
      </c>
      <c r="C110" t="s">
        <v>1616</v>
      </c>
      <c r="D110" t="s">
        <v>1918</v>
      </c>
      <c r="E110">
        <v>5</v>
      </c>
      <c r="G110">
        <v>1024.6099999999999</v>
      </c>
    </row>
    <row r="111" spans="1:7" x14ac:dyDescent="0.3">
      <c r="A111" t="s">
        <v>2057</v>
      </c>
      <c r="B111" t="s">
        <v>66</v>
      </c>
      <c r="C111" t="s">
        <v>1563</v>
      </c>
      <c r="D111" t="s">
        <v>1930</v>
      </c>
      <c r="E111">
        <v>1</v>
      </c>
      <c r="G111">
        <v>276.29000000000002</v>
      </c>
    </row>
    <row r="112" spans="1:7" x14ac:dyDescent="0.3">
      <c r="A112" t="s">
        <v>2058</v>
      </c>
      <c r="B112" t="s">
        <v>342</v>
      </c>
      <c r="C112" t="s">
        <v>1649</v>
      </c>
      <c r="D112" t="s">
        <v>1895</v>
      </c>
      <c r="E112">
        <v>2</v>
      </c>
      <c r="G112">
        <v>382.12</v>
      </c>
    </row>
    <row r="113" spans="1:7" x14ac:dyDescent="0.3">
      <c r="A113" t="s">
        <v>2059</v>
      </c>
      <c r="B113" t="s">
        <v>55</v>
      </c>
      <c r="C113" t="s">
        <v>1655</v>
      </c>
      <c r="D113" t="s">
        <v>1887</v>
      </c>
      <c r="E113">
        <v>4</v>
      </c>
      <c r="G113">
        <v>799.95</v>
      </c>
    </row>
    <row r="114" spans="1:7" x14ac:dyDescent="0.3">
      <c r="A114" t="s">
        <v>2060</v>
      </c>
      <c r="B114" t="s">
        <v>202</v>
      </c>
      <c r="C114" t="s">
        <v>1590</v>
      </c>
      <c r="D114" t="s">
        <v>1936</v>
      </c>
      <c r="E114">
        <v>4</v>
      </c>
      <c r="G114">
        <v>244.2</v>
      </c>
    </row>
    <row r="115" spans="1:7" x14ac:dyDescent="0.3">
      <c r="A115" t="s">
        <v>2061</v>
      </c>
      <c r="B115" t="s">
        <v>104</v>
      </c>
      <c r="C115" t="s">
        <v>1576</v>
      </c>
      <c r="D115" t="s">
        <v>1902</v>
      </c>
      <c r="E115">
        <v>3</v>
      </c>
      <c r="G115">
        <v>1468.05</v>
      </c>
    </row>
    <row r="116" spans="1:7" x14ac:dyDescent="0.3">
      <c r="A116" t="s">
        <v>2062</v>
      </c>
      <c r="B116" t="s">
        <v>262</v>
      </c>
      <c r="C116" t="s">
        <v>1546</v>
      </c>
      <c r="D116" t="s">
        <v>1933</v>
      </c>
      <c r="E116">
        <v>5</v>
      </c>
      <c r="G116">
        <v>2006.82</v>
      </c>
    </row>
    <row r="117" spans="1:7" x14ac:dyDescent="0.3">
      <c r="A117" t="s">
        <v>2063</v>
      </c>
      <c r="B117" t="s">
        <v>218</v>
      </c>
      <c r="C117" t="s">
        <v>1585</v>
      </c>
      <c r="D117" t="s">
        <v>1925</v>
      </c>
      <c r="E117">
        <v>4</v>
      </c>
      <c r="G117">
        <v>985.44</v>
      </c>
    </row>
    <row r="118" spans="1:7" x14ac:dyDescent="0.3">
      <c r="A118" t="s">
        <v>2064</v>
      </c>
      <c r="B118" t="s">
        <v>354</v>
      </c>
      <c r="C118" t="s">
        <v>1655</v>
      </c>
      <c r="D118" t="s">
        <v>1923</v>
      </c>
      <c r="E118">
        <v>4</v>
      </c>
      <c r="G118">
        <v>477.22</v>
      </c>
    </row>
    <row r="119" spans="1:7" x14ac:dyDescent="0.3">
      <c r="A119" t="s">
        <v>2065</v>
      </c>
      <c r="B119" t="s">
        <v>288</v>
      </c>
      <c r="C119" t="s">
        <v>1590</v>
      </c>
      <c r="D119" t="s">
        <v>1925</v>
      </c>
      <c r="E119">
        <v>1</v>
      </c>
      <c r="G119">
        <v>179.97</v>
      </c>
    </row>
    <row r="120" spans="1:7" x14ac:dyDescent="0.3">
      <c r="A120" t="s">
        <v>2066</v>
      </c>
      <c r="B120" t="s">
        <v>248</v>
      </c>
      <c r="C120" t="s">
        <v>1563</v>
      </c>
      <c r="D120" t="s">
        <v>1912</v>
      </c>
      <c r="E120">
        <v>4</v>
      </c>
      <c r="G120">
        <v>939.32</v>
      </c>
    </row>
    <row r="121" spans="1:7" x14ac:dyDescent="0.3">
      <c r="A121" t="s">
        <v>2067</v>
      </c>
      <c r="B121" t="s">
        <v>131</v>
      </c>
      <c r="C121" t="s">
        <v>1639</v>
      </c>
      <c r="D121" t="s">
        <v>1930</v>
      </c>
      <c r="E121">
        <v>2</v>
      </c>
      <c r="G121">
        <v>374.83</v>
      </c>
    </row>
    <row r="122" spans="1:7" x14ac:dyDescent="0.3">
      <c r="A122" t="s">
        <v>2068</v>
      </c>
      <c r="B122" t="s">
        <v>305</v>
      </c>
      <c r="C122" t="s">
        <v>1639</v>
      </c>
      <c r="D122" t="s">
        <v>1933</v>
      </c>
      <c r="E122">
        <v>2</v>
      </c>
      <c r="G122">
        <v>236.28</v>
      </c>
    </row>
    <row r="123" spans="1:7" x14ac:dyDescent="0.3">
      <c r="A123" t="s">
        <v>2069</v>
      </c>
      <c r="B123" t="s">
        <v>131</v>
      </c>
      <c r="C123" t="s">
        <v>1604</v>
      </c>
      <c r="D123" t="s">
        <v>1878</v>
      </c>
      <c r="E123">
        <v>3</v>
      </c>
      <c r="G123">
        <v>317.04000000000002</v>
      </c>
    </row>
    <row r="124" spans="1:7" x14ac:dyDescent="0.3">
      <c r="A124" t="s">
        <v>2070</v>
      </c>
      <c r="B124" t="s">
        <v>182</v>
      </c>
      <c r="C124" t="s">
        <v>1576</v>
      </c>
      <c r="D124" t="s">
        <v>1878</v>
      </c>
      <c r="E124">
        <v>1</v>
      </c>
      <c r="G124">
        <v>305.17</v>
      </c>
    </row>
    <row r="125" spans="1:7" x14ac:dyDescent="0.3">
      <c r="A125" t="s">
        <v>2071</v>
      </c>
      <c r="B125" t="s">
        <v>55</v>
      </c>
      <c r="C125" t="s">
        <v>1585</v>
      </c>
      <c r="D125" t="s">
        <v>1936</v>
      </c>
      <c r="E125">
        <v>2</v>
      </c>
      <c r="G125">
        <v>110.02</v>
      </c>
    </row>
    <row r="126" spans="1:7" x14ac:dyDescent="0.3">
      <c r="A126" t="s">
        <v>2072</v>
      </c>
      <c r="B126" t="s">
        <v>107</v>
      </c>
      <c r="C126" t="s">
        <v>1551</v>
      </c>
      <c r="D126" t="s">
        <v>1902</v>
      </c>
      <c r="E126">
        <v>5</v>
      </c>
      <c r="G126">
        <v>1085.67</v>
      </c>
    </row>
    <row r="127" spans="1:7" x14ac:dyDescent="0.3">
      <c r="A127" t="s">
        <v>2073</v>
      </c>
      <c r="B127" t="s">
        <v>305</v>
      </c>
      <c r="C127" t="s">
        <v>1608</v>
      </c>
      <c r="D127" t="s">
        <v>1930</v>
      </c>
      <c r="E127">
        <v>2</v>
      </c>
      <c r="G127">
        <v>700.59</v>
      </c>
    </row>
    <row r="128" spans="1:7" x14ac:dyDescent="0.3">
      <c r="A128" t="s">
        <v>2074</v>
      </c>
      <c r="B128" t="s">
        <v>225</v>
      </c>
      <c r="C128" t="s">
        <v>1655</v>
      </c>
      <c r="D128" t="s">
        <v>1892</v>
      </c>
      <c r="E128">
        <v>1</v>
      </c>
      <c r="G128">
        <v>109.37</v>
      </c>
    </row>
    <row r="129" spans="1:7" x14ac:dyDescent="0.3">
      <c r="A129" t="s">
        <v>2075</v>
      </c>
      <c r="B129" t="s">
        <v>172</v>
      </c>
      <c r="C129" t="s">
        <v>1604</v>
      </c>
      <c r="D129" t="s">
        <v>1908</v>
      </c>
      <c r="E129">
        <v>3</v>
      </c>
      <c r="G129">
        <v>1413.97</v>
      </c>
    </row>
    <row r="130" spans="1:7" x14ac:dyDescent="0.3">
      <c r="A130" t="s">
        <v>2076</v>
      </c>
      <c r="B130" t="s">
        <v>302</v>
      </c>
      <c r="C130" t="s">
        <v>1594</v>
      </c>
      <c r="D130" t="s">
        <v>1883</v>
      </c>
      <c r="E130">
        <v>5</v>
      </c>
      <c r="G130">
        <v>2283.5700000000002</v>
      </c>
    </row>
    <row r="131" spans="1:7" x14ac:dyDescent="0.3">
      <c r="A131" t="s">
        <v>2077</v>
      </c>
      <c r="B131" t="s">
        <v>222</v>
      </c>
      <c r="C131" t="s">
        <v>1646</v>
      </c>
      <c r="D131" t="s">
        <v>1920</v>
      </c>
      <c r="E131">
        <v>3</v>
      </c>
      <c r="G131">
        <v>291.58</v>
      </c>
    </row>
    <row r="132" spans="1:7" x14ac:dyDescent="0.3">
      <c r="A132" t="s">
        <v>2078</v>
      </c>
      <c r="B132" t="s">
        <v>325</v>
      </c>
      <c r="C132" t="s">
        <v>1551</v>
      </c>
      <c r="D132" t="s">
        <v>1912</v>
      </c>
      <c r="E132">
        <v>2</v>
      </c>
      <c r="G132">
        <v>938.93</v>
      </c>
    </row>
    <row r="133" spans="1:7" x14ac:dyDescent="0.3">
      <c r="A133" t="s">
        <v>2079</v>
      </c>
      <c r="B133" t="s">
        <v>308</v>
      </c>
      <c r="C133" t="s">
        <v>1655</v>
      </c>
      <c r="D133" t="s">
        <v>1933</v>
      </c>
      <c r="E133">
        <v>3</v>
      </c>
      <c r="G133">
        <v>1454.58</v>
      </c>
    </row>
    <row r="134" spans="1:7" x14ac:dyDescent="0.3">
      <c r="A134" t="s">
        <v>2080</v>
      </c>
      <c r="B134" t="s">
        <v>342</v>
      </c>
      <c r="C134" t="s">
        <v>1619</v>
      </c>
      <c r="D134" t="s">
        <v>1902</v>
      </c>
      <c r="E134">
        <v>3</v>
      </c>
      <c r="G134">
        <v>555.91</v>
      </c>
    </row>
    <row r="135" spans="1:7" x14ac:dyDescent="0.3">
      <c r="A135" t="s">
        <v>2081</v>
      </c>
      <c r="B135" t="s">
        <v>148</v>
      </c>
      <c r="C135" t="s">
        <v>1616</v>
      </c>
      <c r="D135" t="s">
        <v>1899</v>
      </c>
      <c r="E135">
        <v>2</v>
      </c>
      <c r="G135">
        <v>745.89</v>
      </c>
    </row>
    <row r="136" spans="1:7" x14ac:dyDescent="0.3">
      <c r="A136" t="s">
        <v>2082</v>
      </c>
      <c r="B136" t="s">
        <v>357</v>
      </c>
      <c r="C136" t="s">
        <v>1563</v>
      </c>
      <c r="D136" t="s">
        <v>1887</v>
      </c>
      <c r="E136">
        <v>4</v>
      </c>
      <c r="G136">
        <v>1138.3499999999999</v>
      </c>
    </row>
    <row r="137" spans="1:7" x14ac:dyDescent="0.3">
      <c r="A137" t="s">
        <v>2083</v>
      </c>
      <c r="B137" t="s">
        <v>259</v>
      </c>
      <c r="C137" t="s">
        <v>1597</v>
      </c>
      <c r="D137" t="s">
        <v>1925</v>
      </c>
      <c r="E137">
        <v>4</v>
      </c>
      <c r="G137">
        <v>1627.91</v>
      </c>
    </row>
    <row r="138" spans="1:7" x14ac:dyDescent="0.3">
      <c r="A138" t="s">
        <v>2084</v>
      </c>
      <c r="B138" t="s">
        <v>351</v>
      </c>
      <c r="C138" t="s">
        <v>1643</v>
      </c>
      <c r="D138" t="s">
        <v>1912</v>
      </c>
      <c r="E138">
        <v>3</v>
      </c>
      <c r="G138">
        <v>1423.36</v>
      </c>
    </row>
    <row r="139" spans="1:7" x14ac:dyDescent="0.3">
      <c r="A139" t="s">
        <v>2085</v>
      </c>
      <c r="B139" t="s">
        <v>55</v>
      </c>
      <c r="C139" t="s">
        <v>1639</v>
      </c>
      <c r="D139" t="s">
        <v>1915</v>
      </c>
      <c r="E139">
        <v>3</v>
      </c>
      <c r="G139">
        <v>633.51</v>
      </c>
    </row>
    <row r="140" spans="1:7" x14ac:dyDescent="0.3">
      <c r="A140" t="s">
        <v>2086</v>
      </c>
      <c r="B140" t="s">
        <v>251</v>
      </c>
      <c r="C140" t="s">
        <v>2019</v>
      </c>
      <c r="D140" t="s">
        <v>1933</v>
      </c>
      <c r="E140">
        <v>2</v>
      </c>
      <c r="G140">
        <v>212.72</v>
      </c>
    </row>
    <row r="141" spans="1:7" x14ac:dyDescent="0.3">
      <c r="A141" t="s">
        <v>2087</v>
      </c>
      <c r="B141" t="s">
        <v>118</v>
      </c>
      <c r="C141" t="s">
        <v>1619</v>
      </c>
      <c r="D141" t="s">
        <v>1927</v>
      </c>
      <c r="E141">
        <v>5</v>
      </c>
      <c r="G141">
        <v>1573.52</v>
      </c>
    </row>
    <row r="142" spans="1:7" x14ac:dyDescent="0.3">
      <c r="A142" t="s">
        <v>2088</v>
      </c>
      <c r="B142" t="s">
        <v>179</v>
      </c>
      <c r="C142" t="s">
        <v>1979</v>
      </c>
      <c r="D142" t="s">
        <v>1939</v>
      </c>
      <c r="E142">
        <v>2</v>
      </c>
      <c r="G142">
        <v>135.78</v>
      </c>
    </row>
    <row r="143" spans="1:7" x14ac:dyDescent="0.3">
      <c r="A143" t="s">
        <v>2089</v>
      </c>
      <c r="B143" t="s">
        <v>218</v>
      </c>
      <c r="C143" t="s">
        <v>1649</v>
      </c>
      <c r="D143" t="s">
        <v>1918</v>
      </c>
      <c r="E143">
        <v>5</v>
      </c>
      <c r="G143">
        <v>1255.8900000000001</v>
      </c>
    </row>
    <row r="144" spans="1:7" x14ac:dyDescent="0.3">
      <c r="A144" t="s">
        <v>2090</v>
      </c>
      <c r="B144" t="s">
        <v>81</v>
      </c>
      <c r="C144" t="s">
        <v>1979</v>
      </c>
      <c r="D144" t="s">
        <v>1887</v>
      </c>
      <c r="E144">
        <v>3</v>
      </c>
      <c r="G144">
        <v>694.59</v>
      </c>
    </row>
    <row r="145" spans="1:7" x14ac:dyDescent="0.3">
      <c r="A145" t="s">
        <v>2091</v>
      </c>
      <c r="B145" t="s">
        <v>209</v>
      </c>
      <c r="C145" t="s">
        <v>1590</v>
      </c>
      <c r="D145" t="s">
        <v>1892</v>
      </c>
      <c r="E145">
        <v>4</v>
      </c>
      <c r="G145">
        <v>357.94</v>
      </c>
    </row>
    <row r="146" spans="1:7" x14ac:dyDescent="0.3">
      <c r="A146" t="s">
        <v>2092</v>
      </c>
      <c r="B146" t="s">
        <v>305</v>
      </c>
      <c r="C146" t="s">
        <v>1649</v>
      </c>
      <c r="D146" t="s">
        <v>1908</v>
      </c>
      <c r="E146">
        <v>1</v>
      </c>
      <c r="G146">
        <v>419.07</v>
      </c>
    </row>
    <row r="147" spans="1:7" x14ac:dyDescent="0.3">
      <c r="A147" t="s">
        <v>2093</v>
      </c>
      <c r="B147" t="s">
        <v>20</v>
      </c>
      <c r="C147" t="s">
        <v>1626</v>
      </c>
      <c r="D147" t="s">
        <v>1915</v>
      </c>
      <c r="E147">
        <v>1</v>
      </c>
      <c r="G147">
        <v>384.4</v>
      </c>
    </row>
    <row r="148" spans="1:7" x14ac:dyDescent="0.3">
      <c r="A148" t="s">
        <v>2094</v>
      </c>
      <c r="B148" t="s">
        <v>182</v>
      </c>
      <c r="C148" t="s">
        <v>1655</v>
      </c>
      <c r="D148" t="s">
        <v>1939</v>
      </c>
      <c r="E148">
        <v>4</v>
      </c>
      <c r="G148">
        <v>1992.62</v>
      </c>
    </row>
    <row r="149" spans="1:7" x14ac:dyDescent="0.3">
      <c r="A149" t="s">
        <v>2095</v>
      </c>
      <c r="B149" t="s">
        <v>351</v>
      </c>
      <c r="C149" t="s">
        <v>1622</v>
      </c>
      <c r="D149" t="s">
        <v>1892</v>
      </c>
      <c r="E149">
        <v>3</v>
      </c>
      <c r="G149">
        <v>1222.8399999999999</v>
      </c>
    </row>
    <row r="150" spans="1:7" x14ac:dyDescent="0.3">
      <c r="A150" t="s">
        <v>2096</v>
      </c>
      <c r="B150" t="s">
        <v>279</v>
      </c>
      <c r="C150" t="s">
        <v>1590</v>
      </c>
      <c r="D150" t="s">
        <v>1930</v>
      </c>
      <c r="E150">
        <v>3</v>
      </c>
      <c r="G150">
        <v>555.98</v>
      </c>
    </row>
    <row r="151" spans="1:7" x14ac:dyDescent="0.3">
      <c r="A151" t="s">
        <v>2097</v>
      </c>
      <c r="B151" t="s">
        <v>185</v>
      </c>
      <c r="C151" t="s">
        <v>1649</v>
      </c>
      <c r="D151" t="s">
        <v>1939</v>
      </c>
      <c r="E151">
        <v>3</v>
      </c>
      <c r="G151">
        <v>1236.04</v>
      </c>
    </row>
    <row r="152" spans="1:7" x14ac:dyDescent="0.3">
      <c r="A152" t="s">
        <v>2098</v>
      </c>
      <c r="B152" t="s">
        <v>212</v>
      </c>
      <c r="C152" t="s">
        <v>1629</v>
      </c>
      <c r="D152" t="s">
        <v>1908</v>
      </c>
      <c r="E152">
        <v>5</v>
      </c>
      <c r="G152">
        <v>2240.12</v>
      </c>
    </row>
    <row r="153" spans="1:7" x14ac:dyDescent="0.3">
      <c r="A153" t="s">
        <v>2099</v>
      </c>
      <c r="B153" t="s">
        <v>225</v>
      </c>
      <c r="C153" t="s">
        <v>1639</v>
      </c>
      <c r="D153" t="s">
        <v>1895</v>
      </c>
      <c r="E153">
        <v>4</v>
      </c>
      <c r="G153">
        <v>250.64</v>
      </c>
    </row>
    <row r="154" spans="1:7" x14ac:dyDescent="0.3">
      <c r="A154" t="s">
        <v>2100</v>
      </c>
      <c r="B154" t="s">
        <v>265</v>
      </c>
      <c r="C154" t="s">
        <v>1594</v>
      </c>
      <c r="D154" t="s">
        <v>1918</v>
      </c>
      <c r="E154">
        <v>1</v>
      </c>
      <c r="G154">
        <v>393.27</v>
      </c>
    </row>
    <row r="155" spans="1:7" x14ac:dyDescent="0.3">
      <c r="A155" t="s">
        <v>2101</v>
      </c>
      <c r="B155" t="s">
        <v>164</v>
      </c>
      <c r="C155" t="s">
        <v>1601</v>
      </c>
      <c r="D155" t="s">
        <v>1908</v>
      </c>
      <c r="E155">
        <v>4</v>
      </c>
      <c r="G155">
        <v>1832.44</v>
      </c>
    </row>
    <row r="156" spans="1:7" x14ac:dyDescent="0.3">
      <c r="A156" t="s">
        <v>2102</v>
      </c>
      <c r="B156" t="s">
        <v>255</v>
      </c>
      <c r="C156" t="s">
        <v>1655</v>
      </c>
      <c r="D156" t="s">
        <v>1918</v>
      </c>
      <c r="E156">
        <v>5</v>
      </c>
      <c r="G156">
        <v>749.33</v>
      </c>
    </row>
    <row r="157" spans="1:7" x14ac:dyDescent="0.3">
      <c r="A157" t="s">
        <v>2103</v>
      </c>
      <c r="B157" t="s">
        <v>342</v>
      </c>
      <c r="C157" t="s">
        <v>1594</v>
      </c>
      <c r="D157" t="s">
        <v>1905</v>
      </c>
      <c r="E157">
        <v>2</v>
      </c>
      <c r="G157">
        <v>165.41</v>
      </c>
    </row>
    <row r="158" spans="1:7" x14ac:dyDescent="0.3">
      <c r="A158" t="s">
        <v>2104</v>
      </c>
      <c r="B158" t="s">
        <v>114</v>
      </c>
      <c r="C158" t="s">
        <v>1576</v>
      </c>
      <c r="D158" t="s">
        <v>1878</v>
      </c>
      <c r="E158">
        <v>3</v>
      </c>
      <c r="G158">
        <v>952.42</v>
      </c>
    </row>
    <row r="159" spans="1:7" x14ac:dyDescent="0.3">
      <c r="A159" t="s">
        <v>2105</v>
      </c>
      <c r="B159" t="s">
        <v>134</v>
      </c>
      <c r="C159" t="s">
        <v>1655</v>
      </c>
      <c r="D159" t="s">
        <v>1933</v>
      </c>
      <c r="E159">
        <v>4</v>
      </c>
      <c r="G159">
        <v>367.28</v>
      </c>
    </row>
    <row r="160" spans="1:7" x14ac:dyDescent="0.3">
      <c r="A160" t="s">
        <v>2106</v>
      </c>
      <c r="B160" t="s">
        <v>268</v>
      </c>
      <c r="C160" t="s">
        <v>1581</v>
      </c>
      <c r="D160" t="s">
        <v>1892</v>
      </c>
      <c r="E160">
        <v>3</v>
      </c>
      <c r="G160">
        <v>785.38</v>
      </c>
    </row>
    <row r="161" spans="1:7" x14ac:dyDescent="0.3">
      <c r="A161" t="s">
        <v>2107</v>
      </c>
      <c r="B161" t="s">
        <v>202</v>
      </c>
      <c r="C161" t="s">
        <v>1655</v>
      </c>
      <c r="D161" t="s">
        <v>1905</v>
      </c>
      <c r="E161">
        <v>5</v>
      </c>
      <c r="G161">
        <v>1952.46</v>
      </c>
    </row>
    <row r="162" spans="1:7" x14ac:dyDescent="0.3">
      <c r="A162" t="s">
        <v>2108</v>
      </c>
      <c r="B162" t="s">
        <v>70</v>
      </c>
      <c r="C162" t="s">
        <v>1546</v>
      </c>
      <c r="D162" t="s">
        <v>1927</v>
      </c>
      <c r="E162">
        <v>3</v>
      </c>
      <c r="G162">
        <v>952.87</v>
      </c>
    </row>
    <row r="163" spans="1:7" x14ac:dyDescent="0.3">
      <c r="A163" t="s">
        <v>2109</v>
      </c>
      <c r="B163" t="s">
        <v>78</v>
      </c>
      <c r="C163" t="s">
        <v>1594</v>
      </c>
      <c r="D163" t="s">
        <v>1883</v>
      </c>
      <c r="E163">
        <v>3</v>
      </c>
      <c r="G163">
        <v>968.98</v>
      </c>
    </row>
    <row r="164" spans="1:7" x14ac:dyDescent="0.3">
      <c r="A164" t="s">
        <v>2110</v>
      </c>
      <c r="B164" t="s">
        <v>66</v>
      </c>
      <c r="C164" t="s">
        <v>1546</v>
      </c>
      <c r="D164" t="s">
        <v>1905</v>
      </c>
      <c r="E164">
        <v>2</v>
      </c>
      <c r="G164">
        <v>744.28</v>
      </c>
    </row>
    <row r="165" spans="1:7" x14ac:dyDescent="0.3">
      <c r="A165" t="s">
        <v>2111</v>
      </c>
      <c r="B165" t="s">
        <v>342</v>
      </c>
      <c r="C165" t="s">
        <v>1567</v>
      </c>
      <c r="D165" t="s">
        <v>1923</v>
      </c>
      <c r="E165">
        <v>1</v>
      </c>
      <c r="G165">
        <v>171.41</v>
      </c>
    </row>
    <row r="166" spans="1:7" x14ac:dyDescent="0.3">
      <c r="A166" t="s">
        <v>2112</v>
      </c>
      <c r="B166" t="s">
        <v>215</v>
      </c>
      <c r="C166" t="s">
        <v>1629</v>
      </c>
      <c r="D166" t="s">
        <v>1918</v>
      </c>
      <c r="E166">
        <v>3</v>
      </c>
      <c r="G166">
        <v>263.94</v>
      </c>
    </row>
    <row r="167" spans="1:7" x14ac:dyDescent="0.3">
      <c r="A167" t="s">
        <v>2113</v>
      </c>
      <c r="B167" t="s">
        <v>15</v>
      </c>
      <c r="C167" t="s">
        <v>1576</v>
      </c>
      <c r="D167" t="s">
        <v>1887</v>
      </c>
      <c r="E167">
        <v>2</v>
      </c>
      <c r="G167">
        <v>699.71</v>
      </c>
    </row>
    <row r="168" spans="1:7" x14ac:dyDescent="0.3">
      <c r="A168" t="s">
        <v>2114</v>
      </c>
      <c r="B168" t="s">
        <v>299</v>
      </c>
      <c r="C168" t="s">
        <v>1643</v>
      </c>
      <c r="D168" t="s">
        <v>1892</v>
      </c>
      <c r="E168">
        <v>4</v>
      </c>
      <c r="G168">
        <v>740.96</v>
      </c>
    </row>
    <row r="169" spans="1:7" x14ac:dyDescent="0.3">
      <c r="A169" t="s">
        <v>2115</v>
      </c>
      <c r="B169" t="s">
        <v>168</v>
      </c>
      <c r="C169" t="s">
        <v>1590</v>
      </c>
      <c r="D169" t="s">
        <v>1905</v>
      </c>
      <c r="E169">
        <v>4</v>
      </c>
      <c r="G169">
        <v>1446.74</v>
      </c>
    </row>
    <row r="170" spans="1:7" x14ac:dyDescent="0.3">
      <c r="A170" t="s">
        <v>2116</v>
      </c>
      <c r="B170" t="s">
        <v>111</v>
      </c>
      <c r="C170" t="s">
        <v>1979</v>
      </c>
      <c r="D170" t="s">
        <v>1908</v>
      </c>
      <c r="E170">
        <v>3</v>
      </c>
      <c r="G170">
        <v>863.59</v>
      </c>
    </row>
    <row r="171" spans="1:7" x14ac:dyDescent="0.3">
      <c r="A171" t="s">
        <v>2117</v>
      </c>
      <c r="B171" t="s">
        <v>314</v>
      </c>
      <c r="C171" t="s">
        <v>2019</v>
      </c>
      <c r="D171" t="s">
        <v>1878</v>
      </c>
      <c r="E171">
        <v>2</v>
      </c>
      <c r="G171">
        <v>721.32</v>
      </c>
    </row>
    <row r="172" spans="1:7" x14ac:dyDescent="0.3">
      <c r="A172" t="s">
        <v>2118</v>
      </c>
      <c r="B172" t="s">
        <v>15</v>
      </c>
      <c r="C172" t="s">
        <v>1619</v>
      </c>
      <c r="D172" t="s">
        <v>1939</v>
      </c>
      <c r="E172">
        <v>2</v>
      </c>
      <c r="G172">
        <v>953.61</v>
      </c>
    </row>
    <row r="173" spans="1:7" x14ac:dyDescent="0.3">
      <c r="A173" t="s">
        <v>2119</v>
      </c>
      <c r="B173" t="s">
        <v>24</v>
      </c>
      <c r="C173" t="s">
        <v>1629</v>
      </c>
      <c r="D173" t="s">
        <v>1920</v>
      </c>
      <c r="E173">
        <v>1</v>
      </c>
      <c r="G173">
        <v>106.18</v>
      </c>
    </row>
    <row r="174" spans="1:7" x14ac:dyDescent="0.3">
      <c r="A174" t="s">
        <v>2120</v>
      </c>
      <c r="B174" t="s">
        <v>85</v>
      </c>
      <c r="C174" t="s">
        <v>1590</v>
      </c>
      <c r="D174" t="s">
        <v>1883</v>
      </c>
      <c r="E174">
        <v>1</v>
      </c>
      <c r="G174">
        <v>454.66</v>
      </c>
    </row>
    <row r="175" spans="1:7" x14ac:dyDescent="0.3">
      <c r="A175" t="s">
        <v>2121</v>
      </c>
      <c r="B175" t="s">
        <v>100</v>
      </c>
      <c r="C175" t="s">
        <v>1556</v>
      </c>
      <c r="D175" t="s">
        <v>1936</v>
      </c>
      <c r="E175">
        <v>4</v>
      </c>
      <c r="G175">
        <v>1062.02</v>
      </c>
    </row>
    <row r="176" spans="1:7" x14ac:dyDescent="0.3">
      <c r="A176" t="s">
        <v>2122</v>
      </c>
      <c r="B176" t="s">
        <v>222</v>
      </c>
      <c r="C176" t="s">
        <v>1646</v>
      </c>
      <c r="D176" t="s">
        <v>1939</v>
      </c>
      <c r="E176">
        <v>4</v>
      </c>
      <c r="G176">
        <v>1262.24</v>
      </c>
    </row>
    <row r="177" spans="1:7" x14ac:dyDescent="0.3">
      <c r="A177" t="s">
        <v>2123</v>
      </c>
      <c r="B177" t="s">
        <v>351</v>
      </c>
      <c r="C177" t="s">
        <v>1639</v>
      </c>
      <c r="D177" t="s">
        <v>1912</v>
      </c>
      <c r="E177">
        <v>4</v>
      </c>
      <c r="G177">
        <v>760.87</v>
      </c>
    </row>
    <row r="178" spans="1:7" x14ac:dyDescent="0.3">
      <c r="A178" t="s">
        <v>2124</v>
      </c>
      <c r="B178" t="s">
        <v>251</v>
      </c>
      <c r="C178" t="s">
        <v>1643</v>
      </c>
      <c r="D178" t="s">
        <v>1915</v>
      </c>
      <c r="E178">
        <v>1</v>
      </c>
      <c r="G178">
        <v>454.52</v>
      </c>
    </row>
    <row r="179" spans="1:7" x14ac:dyDescent="0.3">
      <c r="A179" t="s">
        <v>2125</v>
      </c>
      <c r="B179" t="s">
        <v>38</v>
      </c>
      <c r="C179" t="s">
        <v>1546</v>
      </c>
      <c r="D179" t="s">
        <v>1902</v>
      </c>
      <c r="E179">
        <v>4</v>
      </c>
      <c r="G179">
        <v>941.81</v>
      </c>
    </row>
    <row r="180" spans="1:7" x14ac:dyDescent="0.3">
      <c r="A180" t="s">
        <v>2126</v>
      </c>
      <c r="B180" t="s">
        <v>38</v>
      </c>
      <c r="C180" t="s">
        <v>1571</v>
      </c>
      <c r="D180" t="s">
        <v>1899</v>
      </c>
      <c r="E180">
        <v>2</v>
      </c>
      <c r="G180">
        <v>252.43</v>
      </c>
    </row>
    <row r="181" spans="1:7" x14ac:dyDescent="0.3">
      <c r="A181" t="s">
        <v>2127</v>
      </c>
      <c r="B181" t="s">
        <v>234</v>
      </c>
      <c r="C181" t="s">
        <v>1979</v>
      </c>
      <c r="D181" t="s">
        <v>1883</v>
      </c>
      <c r="E181">
        <v>2</v>
      </c>
      <c r="G181">
        <v>865.08</v>
      </c>
    </row>
    <row r="182" spans="1:7" x14ac:dyDescent="0.3">
      <c r="A182" t="s">
        <v>2128</v>
      </c>
      <c r="B182" t="s">
        <v>202</v>
      </c>
      <c r="C182" t="s">
        <v>2019</v>
      </c>
      <c r="D182" t="s">
        <v>1892</v>
      </c>
      <c r="E182">
        <v>4</v>
      </c>
      <c r="G182">
        <v>1184.03</v>
      </c>
    </row>
    <row r="183" spans="1:7" x14ac:dyDescent="0.3">
      <c r="A183" t="s">
        <v>2129</v>
      </c>
      <c r="B183" t="s">
        <v>161</v>
      </c>
      <c r="C183" t="s">
        <v>1546</v>
      </c>
      <c r="D183" t="s">
        <v>1927</v>
      </c>
      <c r="E183">
        <v>4</v>
      </c>
      <c r="G183">
        <v>1653.4</v>
      </c>
    </row>
    <row r="184" spans="1:7" x14ac:dyDescent="0.3">
      <c r="A184" t="s">
        <v>2130</v>
      </c>
      <c r="B184" t="s">
        <v>62</v>
      </c>
      <c r="C184" t="s">
        <v>1604</v>
      </c>
      <c r="D184" t="s">
        <v>1887</v>
      </c>
      <c r="E184">
        <v>5</v>
      </c>
      <c r="G184">
        <v>1457.46</v>
      </c>
    </row>
    <row r="185" spans="1:7" x14ac:dyDescent="0.3">
      <c r="A185" t="s">
        <v>2131</v>
      </c>
      <c r="B185" t="s">
        <v>85</v>
      </c>
      <c r="C185" t="s">
        <v>1597</v>
      </c>
      <c r="D185" t="s">
        <v>1930</v>
      </c>
      <c r="E185">
        <v>1</v>
      </c>
      <c r="G185">
        <v>307.06</v>
      </c>
    </row>
    <row r="186" spans="1:7" x14ac:dyDescent="0.3">
      <c r="A186" t="s">
        <v>2132</v>
      </c>
      <c r="B186" t="s">
        <v>38</v>
      </c>
      <c r="C186" t="s">
        <v>2019</v>
      </c>
      <c r="D186" t="s">
        <v>1923</v>
      </c>
      <c r="E186">
        <v>4</v>
      </c>
      <c r="G186">
        <v>802.85</v>
      </c>
    </row>
    <row r="187" spans="1:7" x14ac:dyDescent="0.3">
      <c r="A187" t="s">
        <v>2133</v>
      </c>
      <c r="B187" t="s">
        <v>259</v>
      </c>
      <c r="C187" t="s">
        <v>1571</v>
      </c>
      <c r="D187" t="s">
        <v>1927</v>
      </c>
      <c r="E187">
        <v>3</v>
      </c>
      <c r="G187">
        <v>981.93</v>
      </c>
    </row>
    <row r="188" spans="1:7" x14ac:dyDescent="0.3">
      <c r="A188" t="s">
        <v>2134</v>
      </c>
      <c r="B188" t="s">
        <v>185</v>
      </c>
      <c r="C188" t="s">
        <v>1563</v>
      </c>
      <c r="D188" t="s">
        <v>1925</v>
      </c>
      <c r="E188">
        <v>5</v>
      </c>
      <c r="G188">
        <v>916.1</v>
      </c>
    </row>
    <row r="189" spans="1:7" x14ac:dyDescent="0.3">
      <c r="A189" t="s">
        <v>2135</v>
      </c>
      <c r="B189" t="s">
        <v>212</v>
      </c>
      <c r="C189" t="s">
        <v>1551</v>
      </c>
      <c r="D189" t="s">
        <v>1925</v>
      </c>
      <c r="E189">
        <v>5</v>
      </c>
      <c r="G189">
        <v>1887.22</v>
      </c>
    </row>
    <row r="190" spans="1:7" x14ac:dyDescent="0.3">
      <c r="A190" t="s">
        <v>2136</v>
      </c>
      <c r="B190" t="s">
        <v>58</v>
      </c>
      <c r="C190" t="s">
        <v>1608</v>
      </c>
      <c r="D190" t="s">
        <v>1895</v>
      </c>
      <c r="E190">
        <v>3</v>
      </c>
      <c r="G190">
        <v>1070.5999999999999</v>
      </c>
    </row>
    <row r="191" spans="1:7" x14ac:dyDescent="0.3">
      <c r="A191" t="s">
        <v>2137</v>
      </c>
      <c r="B191" t="s">
        <v>141</v>
      </c>
      <c r="C191" t="s">
        <v>1616</v>
      </c>
      <c r="D191" t="s">
        <v>1878</v>
      </c>
      <c r="E191">
        <v>2</v>
      </c>
      <c r="G191">
        <v>286.25</v>
      </c>
    </row>
    <row r="192" spans="1:7" x14ac:dyDescent="0.3">
      <c r="A192" t="s">
        <v>2138</v>
      </c>
      <c r="B192" t="s">
        <v>342</v>
      </c>
      <c r="C192" t="s">
        <v>1643</v>
      </c>
      <c r="D192" t="s">
        <v>1905</v>
      </c>
      <c r="E192">
        <v>5</v>
      </c>
      <c r="G192">
        <v>1453.32</v>
      </c>
    </row>
    <row r="193" spans="1:7" x14ac:dyDescent="0.3">
      <c r="A193" t="s">
        <v>2139</v>
      </c>
      <c r="B193" t="s">
        <v>259</v>
      </c>
      <c r="C193" t="s">
        <v>1585</v>
      </c>
      <c r="D193" t="s">
        <v>1939</v>
      </c>
      <c r="E193">
        <v>2</v>
      </c>
      <c r="G193">
        <v>312.73</v>
      </c>
    </row>
    <row r="194" spans="1:7" x14ac:dyDescent="0.3">
      <c r="A194" t="s">
        <v>2140</v>
      </c>
      <c r="B194" t="s">
        <v>311</v>
      </c>
      <c r="C194" t="s">
        <v>1601</v>
      </c>
      <c r="D194" t="s">
        <v>1883</v>
      </c>
      <c r="E194">
        <v>3</v>
      </c>
      <c r="G194">
        <v>1308.1500000000001</v>
      </c>
    </row>
    <row r="195" spans="1:7" x14ac:dyDescent="0.3">
      <c r="A195" t="s">
        <v>2141</v>
      </c>
      <c r="B195" t="s">
        <v>141</v>
      </c>
      <c r="C195" t="s">
        <v>1556</v>
      </c>
      <c r="D195" t="s">
        <v>1915</v>
      </c>
      <c r="E195">
        <v>4</v>
      </c>
      <c r="G195">
        <v>208.08</v>
      </c>
    </row>
    <row r="196" spans="1:7" x14ac:dyDescent="0.3">
      <c r="A196" t="s">
        <v>2142</v>
      </c>
      <c r="B196" t="s">
        <v>259</v>
      </c>
      <c r="C196" t="s">
        <v>1622</v>
      </c>
      <c r="D196" t="s">
        <v>1918</v>
      </c>
      <c r="E196">
        <v>2</v>
      </c>
      <c r="G196">
        <v>108.49</v>
      </c>
    </row>
    <row r="197" spans="1:7" x14ac:dyDescent="0.3">
      <c r="A197" t="s">
        <v>2143</v>
      </c>
      <c r="B197" t="s">
        <v>199</v>
      </c>
      <c r="C197" t="s">
        <v>1594</v>
      </c>
      <c r="D197" t="s">
        <v>1927</v>
      </c>
      <c r="E197">
        <v>2</v>
      </c>
      <c r="G197">
        <v>772.52</v>
      </c>
    </row>
    <row r="198" spans="1:7" x14ac:dyDescent="0.3">
      <c r="A198" t="s">
        <v>2144</v>
      </c>
      <c r="B198" t="s">
        <v>329</v>
      </c>
      <c r="C198" t="s">
        <v>2019</v>
      </c>
      <c r="D198" t="s">
        <v>1933</v>
      </c>
      <c r="E198">
        <v>5</v>
      </c>
      <c r="G198">
        <v>724.73</v>
      </c>
    </row>
    <row r="199" spans="1:7" x14ac:dyDescent="0.3">
      <c r="A199" t="s">
        <v>2145</v>
      </c>
      <c r="B199" t="s">
        <v>42</v>
      </c>
      <c r="C199" t="s">
        <v>1608</v>
      </c>
      <c r="D199" t="s">
        <v>1930</v>
      </c>
      <c r="E199">
        <v>2</v>
      </c>
      <c r="G199">
        <v>830.82</v>
      </c>
    </row>
    <row r="200" spans="1:7" x14ac:dyDescent="0.3">
      <c r="A200" t="s">
        <v>2146</v>
      </c>
      <c r="B200" t="s">
        <v>305</v>
      </c>
      <c r="C200" t="s">
        <v>1594</v>
      </c>
      <c r="D200" t="s">
        <v>1915</v>
      </c>
      <c r="E200">
        <v>3</v>
      </c>
      <c r="G200">
        <v>567.22</v>
      </c>
    </row>
    <row r="201" spans="1:7" x14ac:dyDescent="0.3">
      <c r="A201" t="s">
        <v>2147</v>
      </c>
      <c r="B201" t="s">
        <v>176</v>
      </c>
      <c r="C201" t="s">
        <v>1604</v>
      </c>
      <c r="D201" t="s">
        <v>1895</v>
      </c>
      <c r="E201">
        <v>3</v>
      </c>
      <c r="G201">
        <v>849.95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4A6-8FEB-4929-8CFB-987C3AA987CE}">
  <dimension ref="A2:P61"/>
  <sheetViews>
    <sheetView topLeftCell="B1" workbookViewId="0">
      <selection activeCell="Y11" sqref="Y11"/>
    </sheetView>
  </sheetViews>
  <sheetFormatPr defaultRowHeight="14.4" x14ac:dyDescent="0.3"/>
  <cols>
    <col min="4" max="4" width="14" bestFit="1" customWidth="1"/>
    <col min="5" max="5" width="11.6640625" bestFit="1" customWidth="1"/>
    <col min="6" max="6" width="12.5546875" bestFit="1" customWidth="1"/>
    <col min="7" max="7" width="11.6640625" bestFit="1" customWidth="1"/>
    <col min="8" max="8" width="16.21875" bestFit="1" customWidth="1"/>
    <col min="9" max="9" width="11.6640625" bestFit="1" customWidth="1"/>
    <col min="10" max="10" width="22.5546875" bestFit="1" customWidth="1"/>
    <col min="11" max="11" width="11.6640625" bestFit="1" customWidth="1"/>
    <col min="13" max="13" width="12.5546875" bestFit="1" customWidth="1"/>
    <col min="14" max="14" width="19.88671875" bestFit="1" customWidth="1"/>
    <col min="15" max="15" width="12.5546875" bestFit="1" customWidth="1"/>
    <col min="16" max="16" width="11.6640625" bestFit="1" customWidth="1"/>
  </cols>
  <sheetData>
    <row r="2" spans="1:16" x14ac:dyDescent="0.3">
      <c r="H2" s="12" t="s">
        <v>2162</v>
      </c>
    </row>
    <row r="3" spans="1:16" x14ac:dyDescent="0.3">
      <c r="A3" s="1"/>
      <c r="B3" s="2"/>
      <c r="C3" s="3"/>
      <c r="D3" s="10" t="s">
        <v>2154</v>
      </c>
      <c r="E3" t="s">
        <v>2157</v>
      </c>
      <c r="F3" s="10" t="s">
        <v>2154</v>
      </c>
      <c r="G3" t="s">
        <v>2157</v>
      </c>
      <c r="H3" s="13" t="s">
        <v>2160</v>
      </c>
      <c r="I3">
        <f>GETPIVOTDATA("[Measures].[Sum of Sales]",$H$4)</f>
        <v>158248.95000000001</v>
      </c>
      <c r="J3" s="10" t="s">
        <v>2154</v>
      </c>
      <c r="K3" t="s">
        <v>2157</v>
      </c>
      <c r="M3" s="10" t="s">
        <v>2154</v>
      </c>
      <c r="N3" t="s">
        <v>2156</v>
      </c>
    </row>
    <row r="4" spans="1:16" x14ac:dyDescent="0.3">
      <c r="A4" s="4"/>
      <c r="B4" s="5"/>
      <c r="C4" s="6"/>
      <c r="D4" s="11" t="s">
        <v>1573</v>
      </c>
      <c r="E4">
        <v>7935.15</v>
      </c>
      <c r="F4" s="11" t="s">
        <v>1882</v>
      </c>
      <c r="G4">
        <v>74005.69</v>
      </c>
      <c r="H4" s="13">
        <v>158248.95000000001</v>
      </c>
      <c r="J4" s="11" t="s">
        <v>1605</v>
      </c>
      <c r="K4">
        <v>11989.6</v>
      </c>
      <c r="M4" s="11" t="s">
        <v>1880</v>
      </c>
      <c r="N4">
        <v>53</v>
      </c>
      <c r="O4" s="10" t="s">
        <v>2154</v>
      </c>
      <c r="P4" t="s">
        <v>2156</v>
      </c>
    </row>
    <row r="5" spans="1:16" x14ac:dyDescent="0.3">
      <c r="A5" s="4"/>
      <c r="B5" s="5"/>
      <c r="C5" s="6"/>
      <c r="D5" s="11" t="s">
        <v>1553</v>
      </c>
      <c r="E5">
        <v>32165.02</v>
      </c>
      <c r="F5" s="11" t="s">
        <v>1898</v>
      </c>
      <c r="G5">
        <v>56069.19</v>
      </c>
      <c r="H5" s="13" t="s">
        <v>2164</v>
      </c>
      <c r="J5" s="11" t="s">
        <v>1547</v>
      </c>
      <c r="K5">
        <v>9998.9</v>
      </c>
      <c r="M5" s="11" t="s">
        <v>1885</v>
      </c>
      <c r="N5">
        <v>68</v>
      </c>
      <c r="O5" s="11" t="s">
        <v>28</v>
      </c>
      <c r="P5">
        <v>125</v>
      </c>
    </row>
    <row r="6" spans="1:16" x14ac:dyDescent="0.3">
      <c r="A6" s="4"/>
      <c r="B6" s="5"/>
      <c r="C6" s="6"/>
      <c r="D6" s="11" t="s">
        <v>1548</v>
      </c>
      <c r="E6">
        <v>35074.699999999997</v>
      </c>
      <c r="F6" s="11" t="s">
        <v>1891</v>
      </c>
      <c r="G6">
        <v>28174.07</v>
      </c>
      <c r="H6" s="13">
        <v>597</v>
      </c>
      <c r="I6">
        <f>GETPIVOTDATA("[Measures].[Sum of Quantity]",$H$6)</f>
        <v>597</v>
      </c>
      <c r="J6" s="11" t="s">
        <v>1656</v>
      </c>
      <c r="K6">
        <v>8285.67</v>
      </c>
      <c r="M6" s="11" t="s">
        <v>1889</v>
      </c>
      <c r="N6">
        <v>57</v>
      </c>
      <c r="O6" s="11" t="s">
        <v>50</v>
      </c>
      <c r="P6">
        <v>122</v>
      </c>
    </row>
    <row r="7" spans="1:16" x14ac:dyDescent="0.3">
      <c r="A7" s="4"/>
      <c r="B7" s="5"/>
      <c r="C7" s="6"/>
      <c r="D7" s="11" t="s">
        <v>1578</v>
      </c>
      <c r="E7">
        <v>42368.82</v>
      </c>
      <c r="F7" s="11" t="s">
        <v>2155</v>
      </c>
      <c r="G7">
        <v>158248.95000000001</v>
      </c>
      <c r="H7" s="13" t="s">
        <v>2161</v>
      </c>
      <c r="J7" s="11" t="s">
        <v>2155</v>
      </c>
      <c r="K7">
        <v>30274.17</v>
      </c>
      <c r="M7" s="11" t="s">
        <v>1910</v>
      </c>
      <c r="N7">
        <v>22</v>
      </c>
      <c r="O7" s="11" t="s">
        <v>14</v>
      </c>
      <c r="P7">
        <v>149</v>
      </c>
    </row>
    <row r="8" spans="1:16" x14ac:dyDescent="0.3">
      <c r="A8" s="4"/>
      <c r="B8" s="5"/>
      <c r="C8" s="6"/>
      <c r="D8" s="11" t="s">
        <v>1587</v>
      </c>
      <c r="E8">
        <v>32855.65</v>
      </c>
      <c r="H8" s="13">
        <v>500</v>
      </c>
      <c r="I8">
        <f>GETPIVOTDATA("[Measures].[Count of Customer_ID 2]",$H$8)</f>
        <v>500</v>
      </c>
      <c r="M8" s="11" t="s">
        <v>2155</v>
      </c>
      <c r="N8">
        <v>200</v>
      </c>
      <c r="O8" s="11" t="s">
        <v>33</v>
      </c>
      <c r="P8">
        <v>104</v>
      </c>
    </row>
    <row r="9" spans="1:16" x14ac:dyDescent="0.3">
      <c r="A9" s="4"/>
      <c r="B9" s="5"/>
      <c r="C9" s="6"/>
      <c r="D9" s="11" t="s">
        <v>2163</v>
      </c>
      <c r="E9">
        <v>7849.61</v>
      </c>
      <c r="F9" s="10" t="s">
        <v>2154</v>
      </c>
      <c r="G9" t="s">
        <v>2157</v>
      </c>
      <c r="H9" t="s">
        <v>2165</v>
      </c>
      <c r="O9" s="11" t="s">
        <v>2155</v>
      </c>
      <c r="P9">
        <v>500</v>
      </c>
    </row>
    <row r="10" spans="1:16" x14ac:dyDescent="0.3">
      <c r="A10" s="4"/>
      <c r="B10" s="5"/>
      <c r="C10" s="6"/>
      <c r="D10" s="11" t="s">
        <v>2155</v>
      </c>
      <c r="E10">
        <v>158248.95000000001</v>
      </c>
      <c r="F10" s="11" t="s">
        <v>17</v>
      </c>
      <c r="M10" s="10" t="s">
        <v>2154</v>
      </c>
      <c r="N10" t="s">
        <v>2157</v>
      </c>
    </row>
    <row r="11" spans="1:16" x14ac:dyDescent="0.3">
      <c r="A11" s="4"/>
      <c r="B11" s="5"/>
      <c r="C11" s="6"/>
      <c r="D11" s="11" t="s">
        <v>2158</v>
      </c>
      <c r="F11" s="14" t="s">
        <v>1880</v>
      </c>
      <c r="G11">
        <v>27794.91</v>
      </c>
      <c r="H11">
        <v>35</v>
      </c>
      <c r="M11" s="11" t="s">
        <v>1880</v>
      </c>
      <c r="N11">
        <v>39022.14</v>
      </c>
      <c r="O11" s="10" t="s">
        <v>2154</v>
      </c>
      <c r="P11" t="s">
        <v>2156</v>
      </c>
    </row>
    <row r="12" spans="1:16" x14ac:dyDescent="0.3">
      <c r="A12" s="4"/>
      <c r="B12" s="5"/>
      <c r="C12" s="6"/>
      <c r="D12" t="s">
        <v>2157</v>
      </c>
      <c r="F12" s="14" t="s">
        <v>1885</v>
      </c>
      <c r="G12">
        <v>27888.560000000001</v>
      </c>
      <c r="H12">
        <v>37</v>
      </c>
      <c r="M12" s="11" t="s">
        <v>1885</v>
      </c>
      <c r="N12">
        <v>53994.17</v>
      </c>
      <c r="O12" s="11" t="s">
        <v>17</v>
      </c>
      <c r="P12">
        <v>262</v>
      </c>
    </row>
    <row r="13" spans="1:16" x14ac:dyDescent="0.3">
      <c r="A13" s="4"/>
      <c r="B13" s="5"/>
      <c r="C13" s="6"/>
      <c r="D13">
        <v>158248.95000000001</v>
      </c>
      <c r="F13" s="14" t="s">
        <v>1889</v>
      </c>
      <c r="G13">
        <v>25254.94</v>
      </c>
      <c r="H13">
        <v>32</v>
      </c>
      <c r="M13" s="11" t="s">
        <v>1889</v>
      </c>
      <c r="N13">
        <v>48397.11</v>
      </c>
      <c r="O13" s="11" t="s">
        <v>10</v>
      </c>
      <c r="P13">
        <v>238</v>
      </c>
    </row>
    <row r="14" spans="1:16" x14ac:dyDescent="0.3">
      <c r="A14" s="4"/>
      <c r="B14" s="5"/>
      <c r="C14" s="6"/>
      <c r="F14" s="14" t="s">
        <v>1910</v>
      </c>
      <c r="G14">
        <v>10965.12</v>
      </c>
      <c r="H14">
        <v>14</v>
      </c>
      <c r="M14" s="11" t="s">
        <v>1910</v>
      </c>
      <c r="N14">
        <v>16835.53</v>
      </c>
      <c r="O14" s="11" t="s">
        <v>2155</v>
      </c>
      <c r="P14">
        <v>500</v>
      </c>
    </row>
    <row r="15" spans="1:16" x14ac:dyDescent="0.3">
      <c r="A15" s="4"/>
      <c r="B15" s="5"/>
      <c r="C15" s="6"/>
      <c r="D15" s="10" t="s">
        <v>2154</v>
      </c>
      <c r="E15" t="s">
        <v>2157</v>
      </c>
      <c r="F15" s="11" t="s">
        <v>10</v>
      </c>
      <c r="M15" s="11" t="s">
        <v>2155</v>
      </c>
      <c r="N15">
        <v>158248.95000000001</v>
      </c>
    </row>
    <row r="16" spans="1:16" x14ac:dyDescent="0.3">
      <c r="A16" s="4"/>
      <c r="B16" s="5"/>
      <c r="C16" s="6"/>
      <c r="D16" s="11" t="s">
        <v>23</v>
      </c>
      <c r="E16">
        <v>384.4</v>
      </c>
      <c r="F16" s="14" t="s">
        <v>1880</v>
      </c>
      <c r="G16">
        <v>11227.23</v>
      </c>
      <c r="H16">
        <v>18</v>
      </c>
      <c r="O16" s="10" t="s">
        <v>2154</v>
      </c>
      <c r="P16" t="s">
        <v>2157</v>
      </c>
    </row>
    <row r="17" spans="1:16" x14ac:dyDescent="0.3">
      <c r="A17" s="4"/>
      <c r="B17" s="5"/>
      <c r="C17" s="6"/>
      <c r="D17" s="11" t="s">
        <v>167</v>
      </c>
      <c r="E17">
        <v>9753.83</v>
      </c>
      <c r="F17" s="14" t="s">
        <v>1885</v>
      </c>
      <c r="G17">
        <v>26105.61</v>
      </c>
      <c r="H17">
        <v>31</v>
      </c>
      <c r="M17" s="10" t="s">
        <v>2154</v>
      </c>
      <c r="N17" t="s">
        <v>2157</v>
      </c>
      <c r="O17" s="11" t="s">
        <v>1546</v>
      </c>
      <c r="P17">
        <v>9998.9</v>
      </c>
    </row>
    <row r="18" spans="1:16" x14ac:dyDescent="0.3">
      <c r="A18" s="4"/>
      <c r="B18" s="5"/>
      <c r="C18" s="6"/>
      <c r="D18" s="11" t="s">
        <v>137</v>
      </c>
      <c r="E18">
        <v>1780.28</v>
      </c>
      <c r="F18" s="14" t="s">
        <v>1889</v>
      </c>
      <c r="G18">
        <v>23142.17</v>
      </c>
      <c r="H18">
        <v>25</v>
      </c>
      <c r="M18" s="11" t="s">
        <v>1935</v>
      </c>
      <c r="N18">
        <v>14347.81</v>
      </c>
      <c r="O18" s="11" t="s">
        <v>1551</v>
      </c>
      <c r="P18">
        <v>7519.54</v>
      </c>
    </row>
    <row r="19" spans="1:16" x14ac:dyDescent="0.3">
      <c r="A19" s="4"/>
      <c r="B19" s="5"/>
      <c r="C19" s="6"/>
      <c r="D19" s="11" t="s">
        <v>295</v>
      </c>
      <c r="E19">
        <v>312.35000000000002</v>
      </c>
      <c r="F19" s="14" t="s">
        <v>1910</v>
      </c>
      <c r="G19">
        <v>5870.41</v>
      </c>
      <c r="H19">
        <v>8</v>
      </c>
      <c r="M19" s="11" t="s">
        <v>1886</v>
      </c>
      <c r="N19">
        <v>13660.79</v>
      </c>
      <c r="O19" s="11" t="s">
        <v>1590</v>
      </c>
      <c r="P19">
        <v>6128.17</v>
      </c>
    </row>
    <row r="20" spans="1:16" x14ac:dyDescent="0.3">
      <c r="A20" s="7"/>
      <c r="B20" s="8"/>
      <c r="C20" s="9"/>
      <c r="D20" s="11" t="s">
        <v>32</v>
      </c>
      <c r="E20">
        <v>5189.67</v>
      </c>
      <c r="F20" s="11" t="s">
        <v>2155</v>
      </c>
      <c r="G20">
        <v>158248.95000000001</v>
      </c>
      <c r="H20">
        <v>200</v>
      </c>
      <c r="M20" s="11" t="s">
        <v>1881</v>
      </c>
      <c r="N20">
        <v>11838.88</v>
      </c>
      <c r="O20" s="11" t="s">
        <v>1594</v>
      </c>
      <c r="P20">
        <v>6553.08</v>
      </c>
    </row>
    <row r="21" spans="1:16" x14ac:dyDescent="0.3">
      <c r="D21" s="11" t="s">
        <v>278</v>
      </c>
      <c r="E21">
        <v>1225.42</v>
      </c>
      <c r="M21" s="11" t="s">
        <v>1897</v>
      </c>
      <c r="N21">
        <v>10850.35</v>
      </c>
      <c r="O21" s="11" t="s">
        <v>1597</v>
      </c>
      <c r="P21">
        <v>4996.96</v>
      </c>
    </row>
    <row r="22" spans="1:16" x14ac:dyDescent="0.3">
      <c r="D22" s="11" t="s">
        <v>171</v>
      </c>
      <c r="E22">
        <v>2662.9</v>
      </c>
      <c r="M22" s="11" t="s">
        <v>1929</v>
      </c>
      <c r="N22">
        <v>10499.02</v>
      </c>
      <c r="O22" s="11" t="s">
        <v>1601</v>
      </c>
      <c r="P22">
        <v>7488.76</v>
      </c>
    </row>
    <row r="23" spans="1:16" x14ac:dyDescent="0.3">
      <c r="D23" s="11" t="s">
        <v>95</v>
      </c>
      <c r="E23">
        <v>1410.18</v>
      </c>
      <c r="M23" s="11" t="s">
        <v>1941</v>
      </c>
      <c r="N23">
        <v>9445.74</v>
      </c>
      <c r="O23" s="11" t="s">
        <v>1604</v>
      </c>
      <c r="P23">
        <v>11989.6</v>
      </c>
    </row>
    <row r="24" spans="1:16" x14ac:dyDescent="0.3">
      <c r="D24" s="11" t="s">
        <v>254</v>
      </c>
      <c r="E24">
        <v>4248.16</v>
      </c>
      <c r="M24" s="11" t="s">
        <v>1911</v>
      </c>
      <c r="N24">
        <v>8832.67</v>
      </c>
      <c r="O24" s="11" t="s">
        <v>1608</v>
      </c>
      <c r="P24">
        <v>5187.13</v>
      </c>
    </row>
    <row r="25" spans="1:16" x14ac:dyDescent="0.3">
      <c r="D25" s="11" t="s">
        <v>84</v>
      </c>
      <c r="E25">
        <v>3631.61</v>
      </c>
      <c r="M25" s="11" t="s">
        <v>399</v>
      </c>
      <c r="N25">
        <v>8294.52</v>
      </c>
      <c r="O25" s="11" t="s">
        <v>2019</v>
      </c>
      <c r="P25">
        <v>4659.17</v>
      </c>
    </row>
    <row r="26" spans="1:16" x14ac:dyDescent="0.3">
      <c r="D26" s="11" t="s">
        <v>103</v>
      </c>
      <c r="E26">
        <v>3291.15</v>
      </c>
      <c r="M26" s="11" t="s">
        <v>1932</v>
      </c>
      <c r="N26">
        <v>8002.86</v>
      </c>
      <c r="O26" s="11" t="s">
        <v>1616</v>
      </c>
      <c r="P26">
        <v>7570.82</v>
      </c>
    </row>
    <row r="27" spans="1:16" x14ac:dyDescent="0.3">
      <c r="D27" s="11" t="s">
        <v>110</v>
      </c>
      <c r="E27">
        <v>1643.21</v>
      </c>
      <c r="M27" s="11" t="s">
        <v>211</v>
      </c>
      <c r="N27">
        <v>7959.53</v>
      </c>
      <c r="O27" s="11" t="s">
        <v>1619</v>
      </c>
      <c r="P27">
        <v>5588.36</v>
      </c>
    </row>
    <row r="28" spans="1:16" x14ac:dyDescent="0.3">
      <c r="D28" s="11" t="s">
        <v>198</v>
      </c>
      <c r="E28">
        <v>1128.05</v>
      </c>
      <c r="M28" s="11" t="s">
        <v>1890</v>
      </c>
      <c r="N28">
        <v>7631.28</v>
      </c>
      <c r="O28" s="11" t="s">
        <v>1622</v>
      </c>
      <c r="P28">
        <v>3568.34</v>
      </c>
    </row>
    <row r="29" spans="1:16" x14ac:dyDescent="0.3">
      <c r="D29" s="11" t="s">
        <v>258</v>
      </c>
      <c r="E29">
        <v>2965.79</v>
      </c>
      <c r="M29" s="11" t="s">
        <v>1894</v>
      </c>
      <c r="N29">
        <v>7347</v>
      </c>
      <c r="O29" s="11" t="s">
        <v>1556</v>
      </c>
      <c r="P29">
        <v>3607.1</v>
      </c>
    </row>
    <row r="30" spans="1:16" x14ac:dyDescent="0.3">
      <c r="D30" s="11" t="s">
        <v>271</v>
      </c>
      <c r="E30">
        <v>785.38</v>
      </c>
      <c r="M30" s="11" t="s">
        <v>1907</v>
      </c>
      <c r="N30">
        <v>7050.71</v>
      </c>
      <c r="O30" s="11" t="s">
        <v>1626</v>
      </c>
      <c r="P30">
        <v>2422.91</v>
      </c>
    </row>
    <row r="31" spans="1:16" x14ac:dyDescent="0.3">
      <c r="D31" s="11" t="s">
        <v>65</v>
      </c>
      <c r="E31">
        <v>7588.48</v>
      </c>
      <c r="M31" s="11" t="s">
        <v>1914</v>
      </c>
      <c r="N31">
        <v>6610.72</v>
      </c>
      <c r="O31" s="11" t="s">
        <v>1629</v>
      </c>
      <c r="P31">
        <v>3213.81</v>
      </c>
    </row>
    <row r="32" spans="1:16" x14ac:dyDescent="0.3">
      <c r="D32" s="11" t="s">
        <v>332</v>
      </c>
      <c r="E32">
        <v>3038.53</v>
      </c>
      <c r="M32" s="11" t="s">
        <v>1904</v>
      </c>
      <c r="N32">
        <v>5794.31</v>
      </c>
      <c r="O32" s="11" t="s">
        <v>1633</v>
      </c>
      <c r="P32">
        <v>4941.5</v>
      </c>
    </row>
    <row r="33" spans="4:16" x14ac:dyDescent="0.3">
      <c r="D33" s="11" t="s">
        <v>144</v>
      </c>
      <c r="E33">
        <v>4206.8599999999997</v>
      </c>
      <c r="M33" s="11" t="s">
        <v>1901</v>
      </c>
      <c r="N33">
        <v>5236.26</v>
      </c>
      <c r="O33" s="11" t="s">
        <v>1636</v>
      </c>
      <c r="P33">
        <v>3662.38</v>
      </c>
    </row>
    <row r="34" spans="4:16" x14ac:dyDescent="0.3">
      <c r="D34" s="11" t="s">
        <v>160</v>
      </c>
      <c r="E34">
        <v>1512.88</v>
      </c>
      <c r="M34" s="11" t="s">
        <v>133</v>
      </c>
      <c r="N34">
        <v>5110.59</v>
      </c>
      <c r="O34" s="11" t="s">
        <v>1639</v>
      </c>
      <c r="P34">
        <v>4340.12</v>
      </c>
    </row>
    <row r="35" spans="4:16" x14ac:dyDescent="0.3">
      <c r="D35" s="11" t="s">
        <v>205</v>
      </c>
      <c r="E35">
        <v>9634.61</v>
      </c>
      <c r="M35" s="11" t="s">
        <v>1938</v>
      </c>
      <c r="N35">
        <v>3935.02</v>
      </c>
      <c r="O35" s="11" t="s">
        <v>1643</v>
      </c>
      <c r="P35">
        <v>4823.46</v>
      </c>
    </row>
    <row r="36" spans="4:16" x14ac:dyDescent="0.3">
      <c r="D36" s="11" t="s">
        <v>317</v>
      </c>
      <c r="E36">
        <v>721.32</v>
      </c>
      <c r="M36" s="11" t="s">
        <v>1922</v>
      </c>
      <c r="N36">
        <v>2903.29</v>
      </c>
      <c r="O36" s="11" t="s">
        <v>1646</v>
      </c>
      <c r="P36">
        <v>4625.91</v>
      </c>
    </row>
    <row r="37" spans="4:16" x14ac:dyDescent="0.3">
      <c r="D37" s="11" t="s">
        <v>117</v>
      </c>
      <c r="E37">
        <v>2529.9499999999998</v>
      </c>
      <c r="M37" s="11" t="s">
        <v>1917</v>
      </c>
      <c r="N37">
        <v>2897.6</v>
      </c>
      <c r="O37" s="11" t="s">
        <v>1649</v>
      </c>
      <c r="P37">
        <v>5139.29</v>
      </c>
    </row>
    <row r="38" spans="4:16" x14ac:dyDescent="0.3">
      <c r="D38" s="11" t="s">
        <v>69</v>
      </c>
      <c r="E38">
        <v>1380.58</v>
      </c>
      <c r="M38" s="11" t="s">
        <v>2155</v>
      </c>
      <c r="N38">
        <v>158248.95000000001</v>
      </c>
      <c r="O38" s="11" t="s">
        <v>1652</v>
      </c>
      <c r="P38">
        <v>3816.63</v>
      </c>
    </row>
    <row r="39" spans="4:16" x14ac:dyDescent="0.3">
      <c r="D39" s="11" t="s">
        <v>73</v>
      </c>
      <c r="E39">
        <v>4782.16</v>
      </c>
      <c r="O39" s="11" t="s">
        <v>1655</v>
      </c>
      <c r="P39">
        <v>8285.67</v>
      </c>
    </row>
    <row r="40" spans="4:16" x14ac:dyDescent="0.3">
      <c r="D40" s="11" t="s">
        <v>188</v>
      </c>
      <c r="E40">
        <v>8526.5</v>
      </c>
      <c r="O40" s="11" t="s">
        <v>1979</v>
      </c>
      <c r="P40">
        <v>3190.44</v>
      </c>
    </row>
    <row r="41" spans="4:16" x14ac:dyDescent="0.3">
      <c r="D41" s="11" t="s">
        <v>49</v>
      </c>
      <c r="E41">
        <v>5212.8500000000004</v>
      </c>
      <c r="O41" s="11" t="s">
        <v>1563</v>
      </c>
      <c r="P41">
        <v>4573.9799999999996</v>
      </c>
    </row>
    <row r="42" spans="4:16" x14ac:dyDescent="0.3">
      <c r="D42" s="11" t="s">
        <v>91</v>
      </c>
      <c r="E42">
        <v>3994.47</v>
      </c>
      <c r="O42" s="11" t="s">
        <v>1567</v>
      </c>
      <c r="P42">
        <v>2390.1999999999998</v>
      </c>
    </row>
    <row r="43" spans="4:16" x14ac:dyDescent="0.3">
      <c r="D43" s="11" t="s">
        <v>237</v>
      </c>
      <c r="E43">
        <v>7378.29</v>
      </c>
      <c r="O43" s="11" t="s">
        <v>1571</v>
      </c>
      <c r="P43">
        <v>2938.19</v>
      </c>
    </row>
    <row r="44" spans="4:16" x14ac:dyDescent="0.3">
      <c r="D44" s="11" t="s">
        <v>61</v>
      </c>
      <c r="E44">
        <v>1070.5999999999999</v>
      </c>
      <c r="O44" s="11" t="s">
        <v>1576</v>
      </c>
      <c r="P44">
        <v>7612.28</v>
      </c>
    </row>
    <row r="45" spans="4:16" x14ac:dyDescent="0.3">
      <c r="D45" s="11" t="s">
        <v>12</v>
      </c>
      <c r="E45">
        <v>878.77</v>
      </c>
      <c r="O45" s="11" t="s">
        <v>1581</v>
      </c>
      <c r="P45">
        <v>1220.92</v>
      </c>
    </row>
    <row r="46" spans="4:16" x14ac:dyDescent="0.3">
      <c r="D46" s="11" t="s">
        <v>19</v>
      </c>
      <c r="E46">
        <v>3286.14</v>
      </c>
      <c r="O46" s="11" t="s">
        <v>1585</v>
      </c>
      <c r="P46">
        <v>6195.33</v>
      </c>
    </row>
    <row r="47" spans="4:16" x14ac:dyDescent="0.3">
      <c r="D47" s="11" t="s">
        <v>27</v>
      </c>
      <c r="E47">
        <v>3939.03</v>
      </c>
      <c r="O47" s="11" t="s">
        <v>2155</v>
      </c>
      <c r="P47">
        <v>158248.95000000001</v>
      </c>
    </row>
    <row r="48" spans="4:16" x14ac:dyDescent="0.3">
      <c r="D48" s="11" t="s">
        <v>99</v>
      </c>
      <c r="E48">
        <v>4767.54</v>
      </c>
    </row>
    <row r="49" spans="4:5" x14ac:dyDescent="0.3">
      <c r="D49" s="11" t="s">
        <v>37</v>
      </c>
      <c r="E49">
        <v>3585.85</v>
      </c>
    </row>
    <row r="50" spans="4:5" x14ac:dyDescent="0.3">
      <c r="D50" s="11" t="s">
        <v>54</v>
      </c>
      <c r="E50">
        <v>7295.75</v>
      </c>
    </row>
    <row r="51" spans="4:5" x14ac:dyDescent="0.3">
      <c r="D51" s="11" t="s">
        <v>221</v>
      </c>
      <c r="E51">
        <v>3987.33</v>
      </c>
    </row>
    <row r="52" spans="4:5" x14ac:dyDescent="0.3">
      <c r="D52" s="11" t="s">
        <v>321</v>
      </c>
      <c r="E52">
        <v>2899.3</v>
      </c>
    </row>
    <row r="53" spans="4:5" x14ac:dyDescent="0.3">
      <c r="D53" s="11" t="s">
        <v>41</v>
      </c>
      <c r="E53">
        <v>5404.16</v>
      </c>
    </row>
    <row r="54" spans="4:5" x14ac:dyDescent="0.3">
      <c r="D54" s="11" t="s">
        <v>241</v>
      </c>
      <c r="E54">
        <v>3422.27</v>
      </c>
    </row>
    <row r="55" spans="4:5" x14ac:dyDescent="0.3">
      <c r="D55" s="11" t="s">
        <v>121</v>
      </c>
      <c r="E55">
        <v>4627.4799999999996</v>
      </c>
    </row>
    <row r="56" spans="4:5" x14ac:dyDescent="0.3">
      <c r="D56" s="11" t="s">
        <v>175</v>
      </c>
      <c r="E56">
        <v>3839.09</v>
      </c>
    </row>
    <row r="57" spans="4:5" x14ac:dyDescent="0.3">
      <c r="D57" s="11" t="s">
        <v>291</v>
      </c>
      <c r="E57">
        <v>1614.2</v>
      </c>
    </row>
    <row r="58" spans="4:5" x14ac:dyDescent="0.3">
      <c r="D58" s="11" t="s">
        <v>77</v>
      </c>
      <c r="E58">
        <v>627.66</v>
      </c>
    </row>
    <row r="59" spans="4:5" x14ac:dyDescent="0.3">
      <c r="D59" s="11" t="s">
        <v>45</v>
      </c>
      <c r="E59">
        <v>3606.01</v>
      </c>
    </row>
    <row r="60" spans="4:5" x14ac:dyDescent="0.3">
      <c r="D60" s="11" t="s">
        <v>328</v>
      </c>
      <c r="E60">
        <v>2477.91</v>
      </c>
    </row>
    <row r="61" spans="4:5" x14ac:dyDescent="0.3">
      <c r="D61" s="11" t="s">
        <v>2155</v>
      </c>
      <c r="E61">
        <v>158248.95000000001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C61F9-CB11-4782-8BE5-E8343B2C41EA}">
  <dimension ref="A1"/>
  <sheetViews>
    <sheetView topLeftCell="A5" workbookViewId="0">
      <selection activeCell="H32" sqref="H32"/>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B9C8-1D9A-43CA-876B-1E0DB6A60C19}">
  <dimension ref="A1"/>
  <sheetViews>
    <sheetView showGridLines="0" showRowColHeaders="0" tabSelected="1" workbookViewId="0">
      <selection activeCell="Y11" sqref="Y11"/>
    </sheetView>
  </sheetViews>
  <sheetFormatPr defaultRowHeight="14.4" x14ac:dyDescent="0.3"/>
  <cols>
    <col min="1" max="1" width="1.3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BFE3C7-0D6F-449E-B0C5-5628615498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Customer_ID</vt:lpstr>
      <vt:lpstr>Product_ID</vt:lpstr>
      <vt:lpstr>Store_ID</vt:lpstr>
      <vt:lpstr>Transaction_ID</vt:lpstr>
      <vt:lpstr>Pivot</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Mohana valli</dc:creator>
  <cp:lastModifiedBy>Mohana valli</cp:lastModifiedBy>
  <dcterms:created xsi:type="dcterms:W3CDTF">2025-12-05T14:45:41Z</dcterms:created>
  <dcterms:modified xsi:type="dcterms:W3CDTF">2026-01-17T14:02:45Z</dcterms:modified>
</cp:coreProperties>
</file>